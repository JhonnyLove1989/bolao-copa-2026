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106263\Documents\Bolão da Copa\"/>
    </mc:Choice>
  </mc:AlternateContent>
  <xr:revisionPtr revIDLastSave="0" documentId="13_ncr:1_{52567213-98CD-41C2-985C-328E9DFA45FD}" xr6:coauthVersionLast="47" xr6:coauthVersionMax="47" xr10:uidLastSave="{00000000-0000-0000-0000-000000000000}"/>
  <bookViews>
    <workbookView xWindow="-110" yWindow="-110" windowWidth="19420" windowHeight="10300" tabRatio="842" activeTab="2" xr2:uid="{00000000-000D-0000-FFFF-FFFF00000000}"/>
  </bookViews>
  <sheets>
    <sheet name="Fase de Grupos" sheetId="1" r:id="rId1"/>
    <sheet name="Classificação" sheetId="2" r:id="rId2"/>
    <sheet name="Mata-Mata" sheetId="3" r:id="rId3"/>
    <sheet name="Palpites - Cosman" sheetId="4" r:id="rId4"/>
    <sheet name="Palpites - Nataniele" sheetId="5" state="hidden" r:id="rId5"/>
    <sheet name="Palpites - Candido" sheetId="7" state="hidden" r:id="rId6"/>
    <sheet name="Palpites - Lona" sheetId="8" state="hidden" r:id="rId7"/>
    <sheet name="Palpites - Isac" sheetId="11" state="hidden" r:id="rId8"/>
    <sheet name="Palpites - PC" sheetId="12" state="hidden" r:id="rId9"/>
    <sheet name="Palpites - Eliana" sheetId="14" state="hidden" r:id="rId10"/>
    <sheet name="Palpites - Sandra" sheetId="16" state="hidden" r:id="rId11"/>
    <sheet name="Palpites - Vania" sheetId="17" state="hidden" r:id="rId12"/>
    <sheet name="Palpites - Andrey" sheetId="22" state="hidden" r:id="rId13"/>
    <sheet name="Ranking" sheetId="23" r:id="rId14"/>
    <sheet name="Palpites MM - Cosman" sheetId="24" r:id="rId15"/>
    <sheet name="Palpites MM - Andrey" sheetId="25" r:id="rId16"/>
    <sheet name="Palpites MM - Candido" sheetId="27" r:id="rId17"/>
    <sheet name="Palpites MM - Lona" sheetId="28" r:id="rId18"/>
    <sheet name="Palpites MM - Isac" sheetId="31" r:id="rId19"/>
    <sheet name="Palpites MM - PC" sheetId="32" r:id="rId20"/>
    <sheet name="Palpites MM - Eliana" sheetId="34" r:id="rId21"/>
    <sheet name="Palpites MM - Sandra" sheetId="36" r:id="rId22"/>
    <sheet name="Palpites MM - Vania" sheetId="37" r:id="rId23"/>
    <sheet name="Palpites MM - Nataniele" sheetId="42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4" l="1"/>
  <c r="C3" i="23"/>
  <c r="J73" i="22"/>
  <c r="I73" i="22"/>
  <c r="J72" i="22"/>
  <c r="I72" i="22"/>
  <c r="J71" i="22"/>
  <c r="I71" i="22"/>
  <c r="J70" i="22"/>
  <c r="I70" i="22"/>
  <c r="J69" i="22"/>
  <c r="I69" i="22"/>
  <c r="J68" i="22"/>
  <c r="I68" i="22"/>
  <c r="J67" i="22"/>
  <c r="I67" i="22"/>
  <c r="J66" i="22"/>
  <c r="I66" i="22"/>
  <c r="J65" i="22"/>
  <c r="I65" i="22"/>
  <c r="J64" i="22"/>
  <c r="I64" i="22"/>
  <c r="J63" i="22"/>
  <c r="I63" i="22"/>
  <c r="J62" i="22"/>
  <c r="I62" i="22"/>
  <c r="J61" i="22"/>
  <c r="I61" i="22"/>
  <c r="J60" i="22"/>
  <c r="I60" i="22"/>
  <c r="J59" i="22"/>
  <c r="I59" i="22"/>
  <c r="J58" i="22"/>
  <c r="I58" i="22"/>
  <c r="J57" i="22"/>
  <c r="I57" i="22"/>
  <c r="J56" i="22"/>
  <c r="I56" i="22"/>
  <c r="J55" i="22"/>
  <c r="I55" i="22"/>
  <c r="J54" i="22"/>
  <c r="I54" i="22"/>
  <c r="J53" i="22"/>
  <c r="I53" i="22"/>
  <c r="J52" i="22"/>
  <c r="I52" i="22"/>
  <c r="J51" i="22"/>
  <c r="I51" i="22"/>
  <c r="J50" i="22"/>
  <c r="I50" i="22"/>
  <c r="J49" i="22"/>
  <c r="I49" i="22"/>
  <c r="J48" i="22"/>
  <c r="I48" i="22"/>
  <c r="J47" i="22"/>
  <c r="I47" i="22"/>
  <c r="J46" i="22"/>
  <c r="I46" i="22"/>
  <c r="J45" i="22"/>
  <c r="I45" i="22"/>
  <c r="J44" i="22"/>
  <c r="I44" i="22"/>
  <c r="J43" i="22"/>
  <c r="I43" i="22"/>
  <c r="J42" i="22"/>
  <c r="I42" i="22"/>
  <c r="J41" i="22"/>
  <c r="I41" i="22"/>
  <c r="J40" i="22"/>
  <c r="I40" i="22"/>
  <c r="J39" i="22"/>
  <c r="I39" i="22"/>
  <c r="J38" i="22"/>
  <c r="I38" i="22"/>
  <c r="J37" i="22"/>
  <c r="I37" i="22"/>
  <c r="J36" i="22"/>
  <c r="I36" i="22"/>
  <c r="J35" i="22"/>
  <c r="I35" i="22"/>
  <c r="J34" i="22"/>
  <c r="I34" i="22"/>
  <c r="J33" i="22"/>
  <c r="I33" i="22"/>
  <c r="J32" i="22"/>
  <c r="I32" i="22"/>
  <c r="J31" i="22"/>
  <c r="I31" i="22"/>
  <c r="J30" i="22"/>
  <c r="I30" i="22"/>
  <c r="J29" i="22"/>
  <c r="I29" i="22"/>
  <c r="J28" i="22"/>
  <c r="I28" i="22"/>
  <c r="J27" i="22"/>
  <c r="I27" i="22"/>
  <c r="J26" i="22"/>
  <c r="I26" i="22"/>
  <c r="J25" i="22"/>
  <c r="I25" i="22"/>
  <c r="J24" i="22"/>
  <c r="I24" i="22"/>
  <c r="J23" i="22"/>
  <c r="I23" i="22"/>
  <c r="J22" i="22"/>
  <c r="I22" i="22"/>
  <c r="J21" i="22"/>
  <c r="I21" i="22"/>
  <c r="J20" i="22"/>
  <c r="I20" i="22"/>
  <c r="J19" i="22"/>
  <c r="I19" i="22"/>
  <c r="J18" i="22"/>
  <c r="I18" i="22"/>
  <c r="J17" i="22"/>
  <c r="I17" i="22"/>
  <c r="J16" i="22"/>
  <c r="I16" i="22"/>
  <c r="J15" i="22"/>
  <c r="I15" i="22"/>
  <c r="J14" i="22"/>
  <c r="I14" i="22"/>
  <c r="J13" i="22"/>
  <c r="I13" i="22"/>
  <c r="J12" i="22"/>
  <c r="I12" i="22"/>
  <c r="J11" i="22"/>
  <c r="I11" i="22"/>
  <c r="J10" i="22"/>
  <c r="I10" i="22"/>
  <c r="J9" i="22"/>
  <c r="I9" i="22"/>
  <c r="J8" i="22"/>
  <c r="I8" i="22"/>
  <c r="J7" i="22"/>
  <c r="I7" i="22"/>
  <c r="J6" i="22"/>
  <c r="I6" i="22"/>
  <c r="J5" i="22"/>
  <c r="I5" i="22"/>
  <c r="J4" i="22"/>
  <c r="I4" i="22"/>
  <c r="J3" i="22"/>
  <c r="I3" i="22"/>
  <c r="J2" i="22"/>
  <c r="I2" i="22"/>
  <c r="J73" i="17"/>
  <c r="I73" i="17"/>
  <c r="J72" i="17"/>
  <c r="I72" i="17"/>
  <c r="J71" i="17"/>
  <c r="I71" i="17"/>
  <c r="J70" i="17"/>
  <c r="I70" i="17"/>
  <c r="J69" i="17"/>
  <c r="I69" i="17"/>
  <c r="J68" i="17"/>
  <c r="I68" i="17"/>
  <c r="J67" i="17"/>
  <c r="I67" i="17"/>
  <c r="J66" i="17"/>
  <c r="I66" i="17"/>
  <c r="J65" i="17"/>
  <c r="I65" i="17"/>
  <c r="J64" i="17"/>
  <c r="I64" i="17"/>
  <c r="J63" i="17"/>
  <c r="I63" i="17"/>
  <c r="J62" i="17"/>
  <c r="I62" i="17"/>
  <c r="J61" i="17"/>
  <c r="I61" i="17"/>
  <c r="J60" i="17"/>
  <c r="I60" i="17"/>
  <c r="J59" i="17"/>
  <c r="I59" i="17"/>
  <c r="J58" i="17"/>
  <c r="I58" i="17"/>
  <c r="J57" i="17"/>
  <c r="I57" i="17"/>
  <c r="J56" i="17"/>
  <c r="I56" i="17"/>
  <c r="J55" i="17"/>
  <c r="I55" i="17"/>
  <c r="J54" i="17"/>
  <c r="I54" i="17"/>
  <c r="J53" i="17"/>
  <c r="I53" i="17"/>
  <c r="J52" i="17"/>
  <c r="I52" i="17"/>
  <c r="J51" i="17"/>
  <c r="I51" i="17"/>
  <c r="J50" i="17"/>
  <c r="I50" i="17"/>
  <c r="J49" i="17"/>
  <c r="I49" i="17"/>
  <c r="J48" i="17"/>
  <c r="I48" i="17"/>
  <c r="J47" i="17"/>
  <c r="I47" i="17"/>
  <c r="J46" i="17"/>
  <c r="I46" i="17"/>
  <c r="J45" i="17"/>
  <c r="I45" i="17"/>
  <c r="J44" i="17"/>
  <c r="I44" i="17"/>
  <c r="J43" i="17"/>
  <c r="I43" i="17"/>
  <c r="J42" i="17"/>
  <c r="I42" i="17"/>
  <c r="J41" i="17"/>
  <c r="I41" i="17"/>
  <c r="J40" i="17"/>
  <c r="I40" i="17"/>
  <c r="J39" i="17"/>
  <c r="I39" i="17"/>
  <c r="J38" i="17"/>
  <c r="I38" i="17"/>
  <c r="J37" i="17"/>
  <c r="I37" i="17"/>
  <c r="J36" i="17"/>
  <c r="I36" i="17"/>
  <c r="J35" i="17"/>
  <c r="I35" i="17"/>
  <c r="J34" i="17"/>
  <c r="I34" i="17"/>
  <c r="J33" i="17"/>
  <c r="I33" i="17"/>
  <c r="J32" i="17"/>
  <c r="I32" i="17"/>
  <c r="J31" i="17"/>
  <c r="I31" i="17"/>
  <c r="J30" i="17"/>
  <c r="I30" i="17"/>
  <c r="J29" i="17"/>
  <c r="I29" i="17"/>
  <c r="J28" i="17"/>
  <c r="I28" i="17"/>
  <c r="J27" i="17"/>
  <c r="I27" i="17"/>
  <c r="J26" i="17"/>
  <c r="I26" i="17"/>
  <c r="J25" i="17"/>
  <c r="I25" i="17"/>
  <c r="J24" i="17"/>
  <c r="I24" i="17"/>
  <c r="J23" i="17"/>
  <c r="I23" i="17"/>
  <c r="J22" i="17"/>
  <c r="I22" i="17"/>
  <c r="J21" i="17"/>
  <c r="I21" i="17"/>
  <c r="J20" i="17"/>
  <c r="I20" i="17"/>
  <c r="J19" i="17"/>
  <c r="I19" i="17"/>
  <c r="J18" i="17"/>
  <c r="I18" i="17"/>
  <c r="J17" i="17"/>
  <c r="I17" i="17"/>
  <c r="J16" i="17"/>
  <c r="I16" i="17"/>
  <c r="J15" i="17"/>
  <c r="I15" i="17"/>
  <c r="J14" i="17"/>
  <c r="I14" i="17"/>
  <c r="J13" i="17"/>
  <c r="I13" i="17"/>
  <c r="J12" i="17"/>
  <c r="I12" i="17"/>
  <c r="J11" i="17"/>
  <c r="I11" i="17"/>
  <c r="J10" i="17"/>
  <c r="I10" i="17"/>
  <c r="J9" i="17"/>
  <c r="I9" i="17"/>
  <c r="J8" i="17"/>
  <c r="I8" i="17"/>
  <c r="J7" i="17"/>
  <c r="I7" i="17"/>
  <c r="J6" i="17"/>
  <c r="I6" i="17"/>
  <c r="J5" i="17"/>
  <c r="I5" i="17"/>
  <c r="J4" i="17"/>
  <c r="I4" i="17"/>
  <c r="J3" i="17"/>
  <c r="I3" i="17"/>
  <c r="J2" i="17"/>
  <c r="I2" i="17"/>
  <c r="J73" i="16"/>
  <c r="I73" i="16"/>
  <c r="J72" i="16"/>
  <c r="I72" i="16"/>
  <c r="J71" i="16"/>
  <c r="I71" i="16"/>
  <c r="J70" i="16"/>
  <c r="I70" i="16"/>
  <c r="J69" i="16"/>
  <c r="I69" i="16"/>
  <c r="J68" i="16"/>
  <c r="I68" i="16"/>
  <c r="J67" i="16"/>
  <c r="I67" i="16"/>
  <c r="J66" i="16"/>
  <c r="I66" i="16"/>
  <c r="J65" i="16"/>
  <c r="I65" i="16"/>
  <c r="J64" i="16"/>
  <c r="I64" i="16"/>
  <c r="J63" i="16"/>
  <c r="I63" i="16"/>
  <c r="J62" i="16"/>
  <c r="I62" i="16"/>
  <c r="J61" i="16"/>
  <c r="I61" i="16"/>
  <c r="J60" i="16"/>
  <c r="I60" i="16"/>
  <c r="J59" i="16"/>
  <c r="I59" i="16"/>
  <c r="J58" i="16"/>
  <c r="I58" i="16"/>
  <c r="J57" i="16"/>
  <c r="I57" i="16"/>
  <c r="J56" i="16"/>
  <c r="I56" i="16"/>
  <c r="J55" i="16"/>
  <c r="I55" i="16"/>
  <c r="J54" i="16"/>
  <c r="I54" i="16"/>
  <c r="J53" i="16"/>
  <c r="I53" i="16"/>
  <c r="J52" i="16"/>
  <c r="I52" i="16"/>
  <c r="J51" i="16"/>
  <c r="I51" i="16"/>
  <c r="J50" i="16"/>
  <c r="I50" i="16"/>
  <c r="J49" i="16"/>
  <c r="I49" i="16"/>
  <c r="J48" i="16"/>
  <c r="I48" i="16"/>
  <c r="J47" i="16"/>
  <c r="I47" i="16"/>
  <c r="J46" i="16"/>
  <c r="I46" i="16"/>
  <c r="J45" i="16"/>
  <c r="I45" i="16"/>
  <c r="J44" i="16"/>
  <c r="I44" i="16"/>
  <c r="J43" i="16"/>
  <c r="I43" i="16"/>
  <c r="J42" i="16"/>
  <c r="I42" i="16"/>
  <c r="J41" i="16"/>
  <c r="I41" i="16"/>
  <c r="J40" i="16"/>
  <c r="I40" i="16"/>
  <c r="J39" i="16"/>
  <c r="I39" i="16"/>
  <c r="J38" i="16"/>
  <c r="I38" i="16"/>
  <c r="J37" i="16"/>
  <c r="I37" i="16"/>
  <c r="J36" i="16"/>
  <c r="I36" i="16"/>
  <c r="J35" i="16"/>
  <c r="I35" i="16"/>
  <c r="J34" i="16"/>
  <c r="I34" i="16"/>
  <c r="J33" i="16"/>
  <c r="I33" i="16"/>
  <c r="J32" i="16"/>
  <c r="I32" i="16"/>
  <c r="J31" i="16"/>
  <c r="I31" i="16"/>
  <c r="J30" i="16"/>
  <c r="I30" i="16"/>
  <c r="J29" i="16"/>
  <c r="I29" i="16"/>
  <c r="J28" i="16"/>
  <c r="I28" i="16"/>
  <c r="J27" i="16"/>
  <c r="I27" i="16"/>
  <c r="J26" i="16"/>
  <c r="I26" i="16"/>
  <c r="J25" i="16"/>
  <c r="I25" i="16"/>
  <c r="J24" i="16"/>
  <c r="I24" i="16"/>
  <c r="J23" i="16"/>
  <c r="I23" i="16"/>
  <c r="J22" i="16"/>
  <c r="I22" i="16"/>
  <c r="J21" i="16"/>
  <c r="I21" i="16"/>
  <c r="J20" i="16"/>
  <c r="I20" i="16"/>
  <c r="J19" i="16"/>
  <c r="I19" i="16"/>
  <c r="J18" i="16"/>
  <c r="I18" i="16"/>
  <c r="J17" i="16"/>
  <c r="I17" i="16"/>
  <c r="J16" i="16"/>
  <c r="I16" i="16"/>
  <c r="J15" i="16"/>
  <c r="I15" i="16"/>
  <c r="J14" i="16"/>
  <c r="I14" i="16"/>
  <c r="J13" i="16"/>
  <c r="I13" i="16"/>
  <c r="J12" i="16"/>
  <c r="I12" i="16"/>
  <c r="J11" i="16"/>
  <c r="I11" i="16"/>
  <c r="J10" i="16"/>
  <c r="I10" i="16"/>
  <c r="J9" i="16"/>
  <c r="I9" i="16"/>
  <c r="J8" i="16"/>
  <c r="I8" i="16"/>
  <c r="J7" i="16"/>
  <c r="I7" i="16"/>
  <c r="J6" i="16"/>
  <c r="I6" i="16"/>
  <c r="J5" i="16"/>
  <c r="I5" i="16"/>
  <c r="J4" i="16"/>
  <c r="I4" i="16"/>
  <c r="J3" i="16"/>
  <c r="I3" i="16"/>
  <c r="J2" i="16"/>
  <c r="I2" i="16"/>
  <c r="J73" i="14"/>
  <c r="I73" i="14"/>
  <c r="J72" i="14"/>
  <c r="I72" i="14"/>
  <c r="J71" i="14"/>
  <c r="I71" i="14"/>
  <c r="J70" i="14"/>
  <c r="I70" i="14"/>
  <c r="J69" i="14"/>
  <c r="I69" i="14"/>
  <c r="J68" i="14"/>
  <c r="I68" i="14"/>
  <c r="J67" i="14"/>
  <c r="I67" i="14"/>
  <c r="J66" i="14"/>
  <c r="I66" i="14"/>
  <c r="J65" i="14"/>
  <c r="I65" i="14"/>
  <c r="J64" i="14"/>
  <c r="I64" i="14"/>
  <c r="J63" i="14"/>
  <c r="I63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6" i="14"/>
  <c r="I56" i="14"/>
  <c r="J55" i="14"/>
  <c r="I55" i="14"/>
  <c r="J54" i="14"/>
  <c r="I54" i="14"/>
  <c r="J53" i="14"/>
  <c r="I53" i="14"/>
  <c r="J52" i="14"/>
  <c r="I52" i="14"/>
  <c r="J51" i="14"/>
  <c r="I51" i="14"/>
  <c r="J50" i="14"/>
  <c r="I50" i="14"/>
  <c r="J49" i="14"/>
  <c r="I49" i="14"/>
  <c r="J48" i="14"/>
  <c r="I48" i="14"/>
  <c r="J47" i="14"/>
  <c r="I47" i="14"/>
  <c r="J46" i="14"/>
  <c r="I46" i="14"/>
  <c r="J45" i="14"/>
  <c r="I45" i="14"/>
  <c r="J44" i="14"/>
  <c r="I44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J36" i="14"/>
  <c r="I36" i="14"/>
  <c r="J35" i="14"/>
  <c r="I35" i="14"/>
  <c r="J34" i="14"/>
  <c r="I34" i="14"/>
  <c r="J33" i="14"/>
  <c r="I33" i="14"/>
  <c r="J32" i="14"/>
  <c r="I32" i="14"/>
  <c r="J31" i="14"/>
  <c r="I31" i="14"/>
  <c r="J30" i="14"/>
  <c r="I30" i="14"/>
  <c r="J29" i="14"/>
  <c r="I29" i="14"/>
  <c r="J28" i="14"/>
  <c r="I28" i="14"/>
  <c r="J27" i="14"/>
  <c r="I27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20" i="14"/>
  <c r="I20" i="14"/>
  <c r="J19" i="14"/>
  <c r="I19" i="14"/>
  <c r="J18" i="14"/>
  <c r="I18" i="14"/>
  <c r="J17" i="14"/>
  <c r="I17" i="14"/>
  <c r="J16" i="14"/>
  <c r="I16" i="14"/>
  <c r="J15" i="14"/>
  <c r="I15" i="14"/>
  <c r="J14" i="14"/>
  <c r="I14" i="14"/>
  <c r="J13" i="14"/>
  <c r="I13" i="14"/>
  <c r="J12" i="14"/>
  <c r="I12" i="14"/>
  <c r="J11" i="14"/>
  <c r="I11" i="14"/>
  <c r="J10" i="14"/>
  <c r="I10" i="14"/>
  <c r="J9" i="14"/>
  <c r="I9" i="14"/>
  <c r="J8" i="14"/>
  <c r="I8" i="14"/>
  <c r="J7" i="14"/>
  <c r="I7" i="14"/>
  <c r="J6" i="14"/>
  <c r="I6" i="14"/>
  <c r="J5" i="14"/>
  <c r="I5" i="14"/>
  <c r="J4" i="14"/>
  <c r="I4" i="14"/>
  <c r="J3" i="14"/>
  <c r="I3" i="14"/>
  <c r="J2" i="14"/>
  <c r="I2" i="14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J66" i="12"/>
  <c r="I66" i="12"/>
  <c r="J65" i="12"/>
  <c r="I65" i="12"/>
  <c r="J64" i="12"/>
  <c r="I64" i="12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I6" i="12"/>
  <c r="J5" i="12"/>
  <c r="I5" i="12"/>
  <c r="J4" i="12"/>
  <c r="I4" i="12"/>
  <c r="J3" i="12"/>
  <c r="I3" i="12"/>
  <c r="J2" i="12"/>
  <c r="I2" i="12"/>
  <c r="J73" i="11"/>
  <c r="I73" i="11"/>
  <c r="J72" i="11"/>
  <c r="I72" i="11"/>
  <c r="J71" i="11"/>
  <c r="I71" i="1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8" i="11"/>
  <c r="I58" i="11"/>
  <c r="J57" i="11"/>
  <c r="I57" i="11"/>
  <c r="J56" i="11"/>
  <c r="I56" i="11"/>
  <c r="J55" i="11"/>
  <c r="I55" i="11"/>
  <c r="J54" i="11"/>
  <c r="I54" i="11"/>
  <c r="J53" i="11"/>
  <c r="I53" i="11"/>
  <c r="J52" i="11"/>
  <c r="I52" i="11"/>
  <c r="J51" i="11"/>
  <c r="I51" i="11"/>
  <c r="J50" i="11"/>
  <c r="I50" i="11"/>
  <c r="J49" i="11"/>
  <c r="I49" i="11"/>
  <c r="J48" i="11"/>
  <c r="I48" i="11"/>
  <c r="J47" i="11"/>
  <c r="I47" i="11"/>
  <c r="J46" i="11"/>
  <c r="I46" i="11"/>
  <c r="J45" i="11"/>
  <c r="I45" i="11"/>
  <c r="J44" i="11"/>
  <c r="I44" i="11"/>
  <c r="J43" i="11"/>
  <c r="I43" i="11"/>
  <c r="J42" i="11"/>
  <c r="I42" i="11"/>
  <c r="J41" i="11"/>
  <c r="I41" i="11"/>
  <c r="J40" i="11"/>
  <c r="I40" i="11"/>
  <c r="J39" i="11"/>
  <c r="I39" i="11"/>
  <c r="J38" i="11"/>
  <c r="I38" i="11"/>
  <c r="J37" i="11"/>
  <c r="I37" i="11"/>
  <c r="J36" i="11"/>
  <c r="I36" i="11"/>
  <c r="J35" i="11"/>
  <c r="I35" i="11"/>
  <c r="J34" i="11"/>
  <c r="I34" i="11"/>
  <c r="J33" i="11"/>
  <c r="I33" i="11"/>
  <c r="J32" i="11"/>
  <c r="I32" i="11"/>
  <c r="J31" i="11"/>
  <c r="I31" i="11"/>
  <c r="J30" i="11"/>
  <c r="I30" i="11"/>
  <c r="J29" i="11"/>
  <c r="I29" i="11"/>
  <c r="J28" i="11"/>
  <c r="I28" i="11"/>
  <c r="J27" i="11"/>
  <c r="I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J18" i="11"/>
  <c r="I18" i="11"/>
  <c r="J17" i="11"/>
  <c r="I17" i="11"/>
  <c r="J16" i="11"/>
  <c r="I16" i="11"/>
  <c r="J15" i="11"/>
  <c r="I15" i="11"/>
  <c r="J14" i="11"/>
  <c r="I14" i="11"/>
  <c r="J13" i="11"/>
  <c r="I13" i="11"/>
  <c r="J12" i="11"/>
  <c r="I12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I4" i="11"/>
  <c r="J3" i="11"/>
  <c r="I3" i="11"/>
  <c r="J2" i="11"/>
  <c r="I2" i="11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J2" i="8"/>
  <c r="I2" i="8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2" i="5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H83" i="2"/>
  <c r="G83" i="2"/>
  <c r="F83" i="2"/>
  <c r="E83" i="2"/>
  <c r="D83" i="2"/>
  <c r="C83" i="2"/>
  <c r="H82" i="2"/>
  <c r="G82" i="2"/>
  <c r="F82" i="2"/>
  <c r="E82" i="2"/>
  <c r="D82" i="2"/>
  <c r="C82" i="2"/>
  <c r="H81" i="2"/>
  <c r="G81" i="2"/>
  <c r="F81" i="2"/>
  <c r="E81" i="2"/>
  <c r="D81" i="2"/>
  <c r="C81" i="2"/>
  <c r="H80" i="2"/>
  <c r="G80" i="2"/>
  <c r="F80" i="2"/>
  <c r="E80" i="2"/>
  <c r="D80" i="2"/>
  <c r="C80" i="2"/>
  <c r="H76" i="2"/>
  <c r="G76" i="2"/>
  <c r="F76" i="2"/>
  <c r="E76" i="2"/>
  <c r="D76" i="2"/>
  <c r="C76" i="2"/>
  <c r="H75" i="2"/>
  <c r="G75" i="2"/>
  <c r="F75" i="2"/>
  <c r="E75" i="2"/>
  <c r="D75" i="2"/>
  <c r="C75" i="2"/>
  <c r="H74" i="2"/>
  <c r="G74" i="2"/>
  <c r="F74" i="2"/>
  <c r="E74" i="2"/>
  <c r="D74" i="2"/>
  <c r="C74" i="2"/>
  <c r="H73" i="2"/>
  <c r="G73" i="2"/>
  <c r="F73" i="2"/>
  <c r="E73" i="2"/>
  <c r="D73" i="2"/>
  <c r="C73" i="2"/>
  <c r="H69" i="2"/>
  <c r="G69" i="2"/>
  <c r="F69" i="2"/>
  <c r="E69" i="2"/>
  <c r="D69" i="2"/>
  <c r="C69" i="2"/>
  <c r="H68" i="2"/>
  <c r="G68" i="2"/>
  <c r="F68" i="2"/>
  <c r="E68" i="2"/>
  <c r="D68" i="2"/>
  <c r="C68" i="2"/>
  <c r="H67" i="2"/>
  <c r="G67" i="2"/>
  <c r="F67" i="2"/>
  <c r="E67" i="2"/>
  <c r="D67" i="2"/>
  <c r="C67" i="2"/>
  <c r="H66" i="2"/>
  <c r="G66" i="2"/>
  <c r="F66" i="2"/>
  <c r="E66" i="2"/>
  <c r="D66" i="2"/>
  <c r="C66" i="2"/>
  <c r="H62" i="2"/>
  <c r="G62" i="2"/>
  <c r="F62" i="2"/>
  <c r="E62" i="2"/>
  <c r="D62" i="2"/>
  <c r="C62" i="2"/>
  <c r="H61" i="2"/>
  <c r="G61" i="2"/>
  <c r="F61" i="2"/>
  <c r="E61" i="2"/>
  <c r="D61" i="2"/>
  <c r="C61" i="2"/>
  <c r="H60" i="2"/>
  <c r="G60" i="2"/>
  <c r="F60" i="2"/>
  <c r="E60" i="2"/>
  <c r="D60" i="2"/>
  <c r="C60" i="2"/>
  <c r="H59" i="2"/>
  <c r="G59" i="2"/>
  <c r="F59" i="2"/>
  <c r="E59" i="2"/>
  <c r="D59" i="2"/>
  <c r="C59" i="2"/>
  <c r="H55" i="2"/>
  <c r="G55" i="2"/>
  <c r="F55" i="2"/>
  <c r="E55" i="2"/>
  <c r="D55" i="2"/>
  <c r="C55" i="2"/>
  <c r="H54" i="2"/>
  <c r="G54" i="2"/>
  <c r="F54" i="2"/>
  <c r="E54" i="2"/>
  <c r="D54" i="2"/>
  <c r="C54" i="2"/>
  <c r="H53" i="2"/>
  <c r="G53" i="2"/>
  <c r="F53" i="2"/>
  <c r="E53" i="2"/>
  <c r="D53" i="2"/>
  <c r="C53" i="2"/>
  <c r="H52" i="2"/>
  <c r="G52" i="2"/>
  <c r="F52" i="2"/>
  <c r="E52" i="2"/>
  <c r="D52" i="2"/>
  <c r="C52" i="2"/>
  <c r="H48" i="2"/>
  <c r="G48" i="2"/>
  <c r="F48" i="2"/>
  <c r="E48" i="2"/>
  <c r="D48" i="2"/>
  <c r="C48" i="2"/>
  <c r="H47" i="2"/>
  <c r="G47" i="2"/>
  <c r="F47" i="2"/>
  <c r="E47" i="2"/>
  <c r="D47" i="2"/>
  <c r="C47" i="2"/>
  <c r="H46" i="2"/>
  <c r="G46" i="2"/>
  <c r="F46" i="2"/>
  <c r="E46" i="2"/>
  <c r="D46" i="2"/>
  <c r="C46" i="2"/>
  <c r="H45" i="2"/>
  <c r="G45" i="2"/>
  <c r="F45" i="2"/>
  <c r="E45" i="2"/>
  <c r="D45" i="2"/>
  <c r="C45" i="2"/>
  <c r="H41" i="2"/>
  <c r="G41" i="2"/>
  <c r="F41" i="2"/>
  <c r="E41" i="2"/>
  <c r="D41" i="2"/>
  <c r="C41" i="2"/>
  <c r="H40" i="2"/>
  <c r="G40" i="2"/>
  <c r="F40" i="2"/>
  <c r="E40" i="2"/>
  <c r="D40" i="2"/>
  <c r="C40" i="2"/>
  <c r="H39" i="2"/>
  <c r="G39" i="2"/>
  <c r="F39" i="2"/>
  <c r="E39" i="2"/>
  <c r="D39" i="2"/>
  <c r="C39" i="2"/>
  <c r="H38" i="2"/>
  <c r="G38" i="2"/>
  <c r="F38" i="2"/>
  <c r="E38" i="2"/>
  <c r="D38" i="2"/>
  <c r="C38" i="2"/>
  <c r="H34" i="2"/>
  <c r="G34" i="2"/>
  <c r="F34" i="2"/>
  <c r="E34" i="2"/>
  <c r="D34" i="2"/>
  <c r="C34" i="2"/>
  <c r="H33" i="2"/>
  <c r="G33" i="2"/>
  <c r="F33" i="2"/>
  <c r="E33" i="2"/>
  <c r="D33" i="2"/>
  <c r="C33" i="2"/>
  <c r="H32" i="2"/>
  <c r="G32" i="2"/>
  <c r="F32" i="2"/>
  <c r="E32" i="2"/>
  <c r="D32" i="2"/>
  <c r="C32" i="2"/>
  <c r="H31" i="2"/>
  <c r="G31" i="2"/>
  <c r="F31" i="2"/>
  <c r="E31" i="2"/>
  <c r="D31" i="2"/>
  <c r="C31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H10" i="2"/>
  <c r="G10" i="2"/>
  <c r="F10" i="2"/>
  <c r="E10" i="2"/>
  <c r="D10" i="2"/>
  <c r="C10" i="2"/>
  <c r="H6" i="2"/>
  <c r="G6" i="2"/>
  <c r="F6" i="2"/>
  <c r="E6" i="2"/>
  <c r="D6" i="2"/>
  <c r="C6" i="2"/>
  <c r="H5" i="2"/>
  <c r="G5" i="2"/>
  <c r="F5" i="2"/>
  <c r="E5" i="2"/>
  <c r="D5" i="2"/>
  <c r="C5" i="2"/>
  <c r="H4" i="2"/>
  <c r="G4" i="2"/>
  <c r="F4" i="2"/>
  <c r="E4" i="2"/>
  <c r="D4" i="2"/>
  <c r="C4" i="2"/>
  <c r="H3" i="2"/>
  <c r="G3" i="2"/>
  <c r="F3" i="2"/>
  <c r="E3" i="2"/>
  <c r="D3" i="2"/>
  <c r="C3" i="2"/>
  <c r="F4" i="23" l="1"/>
  <c r="E4" i="23"/>
  <c r="D4" i="23"/>
  <c r="D3" i="23"/>
  <c r="E3" i="23"/>
  <c r="F3" i="23"/>
  <c r="D9" i="23"/>
  <c r="F5" i="23"/>
  <c r="D5" i="23"/>
  <c r="E5" i="23"/>
  <c r="F7" i="23"/>
  <c r="E7" i="23"/>
  <c r="D7" i="23"/>
  <c r="E10" i="23"/>
  <c r="D10" i="23"/>
  <c r="F8" i="23"/>
  <c r="D8" i="23"/>
  <c r="E8" i="23"/>
  <c r="F9" i="23"/>
  <c r="E9" i="23"/>
  <c r="F6" i="23"/>
  <c r="D6" i="23"/>
  <c r="E6" i="23"/>
  <c r="J34" i="24"/>
  <c r="C6" i="23" s="1"/>
  <c r="F10" i="23"/>
  <c r="F12" i="23"/>
  <c r="E12" i="23"/>
  <c r="D12" i="23"/>
  <c r="F11" i="23"/>
  <c r="E11" i="23"/>
  <c r="D11" i="23"/>
  <c r="J74" i="22"/>
  <c r="J74" i="17"/>
  <c r="C12" i="23" s="1"/>
  <c r="J75" i="2"/>
  <c r="I75" i="2"/>
  <c r="J74" i="2"/>
  <c r="I74" i="2"/>
  <c r="J69" i="2"/>
  <c r="I69" i="2"/>
  <c r="J68" i="2"/>
  <c r="I68" i="2"/>
  <c r="J67" i="2"/>
  <c r="I67" i="2"/>
  <c r="J53" i="2"/>
  <c r="I53" i="2"/>
  <c r="J38" i="2"/>
  <c r="I38" i="2"/>
  <c r="I31" i="2"/>
  <c r="J24" i="2"/>
  <c r="I24" i="2"/>
  <c r="J17" i="2"/>
  <c r="I13" i="2"/>
  <c r="J12" i="2"/>
  <c r="J11" i="2"/>
  <c r="I11" i="2"/>
  <c r="J74" i="16"/>
  <c r="C11" i="23" s="1"/>
  <c r="J74" i="14"/>
  <c r="C7" i="23" s="1"/>
  <c r="I76" i="2"/>
  <c r="I60" i="2"/>
  <c r="J52" i="2"/>
  <c r="I52" i="2"/>
  <c r="J48" i="2"/>
  <c r="I48" i="2"/>
  <c r="J47" i="2"/>
  <c r="J27" i="2"/>
  <c r="J20" i="2"/>
  <c r="I20" i="2"/>
  <c r="I12" i="2"/>
  <c r="J74" i="12"/>
  <c r="C10" i="23" s="1"/>
  <c r="J74" i="11"/>
  <c r="C8" i="23" s="1"/>
  <c r="J73" i="2"/>
  <c r="I73" i="2"/>
  <c r="J60" i="2"/>
  <c r="J31" i="2"/>
  <c r="J10" i="2"/>
  <c r="I10" i="2"/>
  <c r="J74" i="8"/>
  <c r="C9" i="23" s="1"/>
  <c r="J74" i="7"/>
  <c r="C5" i="23" s="1"/>
  <c r="J80" i="2"/>
  <c r="I80" i="2"/>
  <c r="J61" i="2"/>
  <c r="I61" i="2"/>
  <c r="J59" i="2"/>
  <c r="I59" i="2"/>
  <c r="I47" i="2"/>
  <c r="J46" i="2"/>
  <c r="I46" i="2"/>
  <c r="J45" i="2"/>
  <c r="I45" i="2"/>
  <c r="J41" i="2"/>
  <c r="I41" i="2"/>
  <c r="J40" i="2"/>
  <c r="I40" i="2"/>
  <c r="J39" i="2"/>
  <c r="I39" i="2"/>
  <c r="J25" i="2"/>
  <c r="I25" i="2"/>
  <c r="I17" i="2"/>
  <c r="J13" i="2"/>
  <c r="J6" i="2"/>
  <c r="I6" i="2"/>
  <c r="J74" i="5"/>
  <c r="C4" i="23" s="1"/>
  <c r="J74" i="4"/>
  <c r="J82" i="2"/>
  <c r="I82" i="2"/>
  <c r="J76" i="2"/>
  <c r="J66" i="2"/>
  <c r="I66" i="2"/>
  <c r="J55" i="2"/>
  <c r="I55" i="2"/>
  <c r="J54" i="2"/>
  <c r="I54" i="2"/>
  <c r="J34" i="2"/>
  <c r="I34" i="2"/>
  <c r="J33" i="2"/>
  <c r="J19" i="2"/>
  <c r="I19" i="2"/>
  <c r="J83" i="2"/>
  <c r="I83" i="2"/>
  <c r="J81" i="2"/>
  <c r="I81" i="2"/>
  <c r="J62" i="2"/>
  <c r="I62" i="2"/>
  <c r="I33" i="2"/>
  <c r="J32" i="2"/>
  <c r="I32" i="2"/>
  <c r="I27" i="2"/>
  <c r="J26" i="2"/>
  <c r="I26" i="2"/>
  <c r="J18" i="2"/>
  <c r="I18" i="2"/>
  <c r="J5" i="2"/>
  <c r="I5" i="2"/>
  <c r="J4" i="2"/>
  <c r="I4" i="2"/>
  <c r="J3" i="2"/>
  <c r="I3" i="2"/>
  <c r="A6" i="23" l="1"/>
  <c r="A11" i="23"/>
  <c r="A7" i="23"/>
  <c r="A8" i="23"/>
  <c r="A9" i="23"/>
  <c r="A3" i="23"/>
  <c r="A10" i="23"/>
  <c r="A12" i="23"/>
  <c r="A5" i="23"/>
  <c r="A4" i="23"/>
</calcChain>
</file>

<file path=xl/sharedStrings.xml><?xml version="1.0" encoding="utf-8"?>
<sst xmlns="http://schemas.openxmlformats.org/spreadsheetml/2006/main" count="6995" uniqueCount="203">
  <si>
    <t>Jogo #</t>
  </si>
  <si>
    <t>Data</t>
  </si>
  <si>
    <t>Horário (BRT)</t>
  </si>
  <si>
    <t>Grupo</t>
  </si>
  <si>
    <t>Seleção 1</t>
  </si>
  <si>
    <t>Gols 1</t>
  </si>
  <si>
    <t>x</t>
  </si>
  <si>
    <t>Gols 2</t>
  </si>
  <si>
    <t>Seleção 2</t>
  </si>
  <si>
    <t>Cidade/Estádio</t>
  </si>
  <si>
    <t>11/06</t>
  </si>
  <si>
    <t>16:00</t>
  </si>
  <si>
    <t>A</t>
  </si>
  <si>
    <t>México</t>
  </si>
  <si>
    <t>África do Sul</t>
  </si>
  <si>
    <t>Cidade do México</t>
  </si>
  <si>
    <t>23:00</t>
  </si>
  <si>
    <t>Coreia do Sul</t>
  </si>
  <si>
    <t>República Tcheca</t>
  </si>
  <si>
    <t>Guadalajara</t>
  </si>
  <si>
    <t>12/06</t>
  </si>
  <si>
    <t>B</t>
  </si>
  <si>
    <t>Canadá</t>
  </si>
  <si>
    <t>Bósnia e Herzegovina</t>
  </si>
  <si>
    <t>Toronto</t>
  </si>
  <si>
    <t>22:00</t>
  </si>
  <si>
    <t>D</t>
  </si>
  <si>
    <t>EUA</t>
  </si>
  <si>
    <t>Paraguai</t>
  </si>
  <si>
    <t>Los Angeles</t>
  </si>
  <si>
    <t>13/06</t>
  </si>
  <si>
    <t>Catar</t>
  </si>
  <si>
    <t>Suíça</t>
  </si>
  <si>
    <t>San Francisco</t>
  </si>
  <si>
    <t>19:00</t>
  </si>
  <si>
    <t>C</t>
  </si>
  <si>
    <t>Brasil</t>
  </si>
  <si>
    <t>Marrocos</t>
  </si>
  <si>
    <t>Nova York/NJ</t>
  </si>
  <si>
    <t>Haiti</t>
  </si>
  <si>
    <t>Escócia</t>
  </si>
  <si>
    <t>Boston</t>
  </si>
  <si>
    <t>14/06</t>
  </si>
  <si>
    <t>01:00</t>
  </si>
  <si>
    <t>Austrália</t>
  </si>
  <si>
    <t>Turquia</t>
  </si>
  <si>
    <t>Vancouver</t>
  </si>
  <si>
    <t>14:00</t>
  </si>
  <si>
    <t>E</t>
  </si>
  <si>
    <t>Alemanha</t>
  </si>
  <si>
    <t>Curaçao</t>
  </si>
  <si>
    <t>Houston</t>
  </si>
  <si>
    <t>17:00</t>
  </si>
  <si>
    <t>F</t>
  </si>
  <si>
    <t>Holanda</t>
  </si>
  <si>
    <t>Japão</t>
  </si>
  <si>
    <t>Dallas</t>
  </si>
  <si>
    <t>20:00</t>
  </si>
  <si>
    <t>Costa do Marfim</t>
  </si>
  <si>
    <t>Equador</t>
  </si>
  <si>
    <t>Filadélfia</t>
  </si>
  <si>
    <t>Suécia</t>
  </si>
  <si>
    <t>Tunísia</t>
  </si>
  <si>
    <t>Monterrey</t>
  </si>
  <si>
    <t>15/06</t>
  </si>
  <si>
    <t>13:00</t>
  </si>
  <si>
    <t>H</t>
  </si>
  <si>
    <t>Espanha</t>
  </si>
  <si>
    <t>Cabo Verde</t>
  </si>
  <si>
    <t>Atlanta</t>
  </si>
  <si>
    <t>G</t>
  </si>
  <si>
    <t>Bélgica</t>
  </si>
  <si>
    <t>Egito</t>
  </si>
  <si>
    <t>Seattle</t>
  </si>
  <si>
    <t>Arábia Saudita</t>
  </si>
  <si>
    <t>Uruguai</t>
  </si>
  <si>
    <t>Miami</t>
  </si>
  <si>
    <t>Irã</t>
  </si>
  <si>
    <t>Nova Zelândia</t>
  </si>
  <si>
    <t>16/06</t>
  </si>
  <si>
    <t>I</t>
  </si>
  <si>
    <t>França</t>
  </si>
  <si>
    <t>Senegal</t>
  </si>
  <si>
    <t>Iraque</t>
  </si>
  <si>
    <t>Noruega</t>
  </si>
  <si>
    <t>J</t>
  </si>
  <si>
    <t>Argentina</t>
  </si>
  <si>
    <t>Argélia</t>
  </si>
  <si>
    <t>Kansas City</t>
  </si>
  <si>
    <t>17/06</t>
  </si>
  <si>
    <t>Áustria</t>
  </si>
  <si>
    <t>Jordânia</t>
  </si>
  <si>
    <t>K</t>
  </si>
  <si>
    <t>Portugal</t>
  </si>
  <si>
    <t>RD Congo</t>
  </si>
  <si>
    <t>L</t>
  </si>
  <si>
    <t>Inglaterra</t>
  </si>
  <si>
    <t>Croácia</t>
  </si>
  <si>
    <t>Gana</t>
  </si>
  <si>
    <t>Panamá</t>
  </si>
  <si>
    <t>Uzbequistão</t>
  </si>
  <si>
    <t>Colômbia</t>
  </si>
  <si>
    <t>18/06</t>
  </si>
  <si>
    <t>19/06</t>
  </si>
  <si>
    <t>21:30</t>
  </si>
  <si>
    <t>20/06</t>
  </si>
  <si>
    <t>21/06</t>
  </si>
  <si>
    <t>22/06</t>
  </si>
  <si>
    <t>18:00</t>
  </si>
  <si>
    <t>21:00</t>
  </si>
  <si>
    <t>23/06</t>
  </si>
  <si>
    <t>24/06</t>
  </si>
  <si>
    <t>25/06</t>
  </si>
  <si>
    <t>26/06</t>
  </si>
  <si>
    <t>27/06</t>
  </si>
  <si>
    <t>00:00</t>
  </si>
  <si>
    <t>Grupo A</t>
  </si>
  <si>
    <t>Pos</t>
  </si>
  <si>
    <t>Seleção</t>
  </si>
  <si>
    <t>V</t>
  </si>
  <si>
    <t>GP</t>
  </si>
  <si>
    <t>GC</t>
  </si>
  <si>
    <t>SG</t>
  </si>
  <si>
    <t>PTS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</si>
  <si>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</si>
  <si>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</si>
  <si>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</si>
  <si>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</si>
  <si>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</si>
  <si>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</si>
  <si>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</si>
  <si>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</si>
  <si>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</si>
  <si>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</si>
  <si>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</si>
  <si>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Fase</t>
  </si>
  <si>
    <t>28/06</t>
  </si>
  <si>
    <t>A definir</t>
  </si>
  <si>
    <t>29/06</t>
  </si>
  <si>
    <t>30/06</t>
  </si>
  <si>
    <t>01/07</t>
  </si>
  <si>
    <t>02/07</t>
  </si>
  <si>
    <t>03/07</t>
  </si>
  <si>
    <t>Oitavas</t>
  </si>
  <si>
    <t>04/07</t>
  </si>
  <si>
    <t>05/07</t>
  </si>
  <si>
    <t>06/07</t>
  </si>
  <si>
    <t>07/07</t>
  </si>
  <si>
    <t>Quartas</t>
  </si>
  <si>
    <t>09/07</t>
  </si>
  <si>
    <t>10/07</t>
  </si>
  <si>
    <t>11/07</t>
  </si>
  <si>
    <t>Semifinal</t>
  </si>
  <si>
    <t>14/07</t>
  </si>
  <si>
    <t>15/07</t>
  </si>
  <si>
    <t>3º Lugar</t>
  </si>
  <si>
    <t>18/07</t>
  </si>
  <si>
    <t>FINAL</t>
  </si>
  <si>
    <t>19/07</t>
  </si>
  <si>
    <t>Palpite 1</t>
  </si>
  <si>
    <t>Palpite 2</t>
  </si>
  <si>
    <t>Resultado</t>
  </si>
  <si>
    <t>Pontos</t>
  </si>
  <si>
    <t>TOTAL DE PONTOS →</t>
  </si>
  <si>
    <t>Pontuação máxima possível →</t>
  </si>
  <si>
    <t>🏆 REGRAS DE PONTUAÇÃO DO BOLÃO</t>
  </si>
  <si>
    <t>Tipo de Acerto</t>
  </si>
  <si>
    <t>Símbolo</t>
  </si>
  <si>
    <t>Placar exato (ex: 2x1 = 2x1)</t>
  </si>
  <si>
    <t>✅</t>
  </si>
  <si>
    <t>5 pontos</t>
  </si>
  <si>
    <t>Acertou resultado (vencedor/empate)</t>
  </si>
  <si>
    <t>🟡</t>
  </si>
  <si>
    <t>3 pontos</t>
  </si>
  <si>
    <t>Errou o resultado</t>
  </si>
  <si>
    <t>❌</t>
  </si>
  <si>
    <t>0 pontos</t>
  </si>
  <si>
    <t>Aguardando resultado/palpite</t>
  </si>
  <si>
    <t>⏳</t>
  </si>
  <si>
    <t>—</t>
  </si>
  <si>
    <t>🏆 RANKING DO BOLÃO - COPA DO MUNDO 2026</t>
  </si>
  <si>
    <t>Posição</t>
  </si>
  <si>
    <t>Participante</t>
  </si>
  <si>
    <t>Placares Exatos</t>
  </si>
  <si>
    <t>Resultados Certos</t>
  </si>
  <si>
    <t>Erros</t>
  </si>
  <si>
    <t>Andrey</t>
  </si>
  <si>
    <t>Candido</t>
  </si>
  <si>
    <t>Cosman</t>
  </si>
  <si>
    <t>Eliana</t>
  </si>
  <si>
    <t>Isac</t>
  </si>
  <si>
    <t>Lona</t>
  </si>
  <si>
    <t>PC</t>
  </si>
  <si>
    <t>Sandra</t>
  </si>
  <si>
    <t>Vania</t>
  </si>
  <si>
    <t>📌 Atualizado automaticamente conforme os resultados são preenchidos na aba "Fase de Grupos"</t>
  </si>
  <si>
    <t>📊 Sistema de Pontuação:  ✅ Placar exato = 5 pts  |  🟡 Acertou resultado = 3 pts  |  ❌ Errou = 0 pts</t>
  </si>
  <si>
    <t>16 avos</t>
  </si>
  <si>
    <t>Nataniele</t>
  </si>
  <si>
    <t>Àfrica do Sul</t>
  </si>
  <si>
    <t>Congo</t>
  </si>
  <si>
    <t>Estados Unidos</t>
  </si>
  <si>
    <t>Bósnia Herzegovina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</si>
</sst>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2"/>
      <color rgb="FF006400"/>
      <name val="Calibri"/>
    </font>
    <font>
      <b/>
      <sz val="12"/>
      <name val="Calibri"/>
    </font>
    <font>
      <b/>
      <sz val="12"/>
      <color rgb="FFFFFFFF"/>
      <name val="Calibri"/>
    </font>
    <font>
      <b/>
      <sz val="14"/>
      <color rgb="FFFFFFFF"/>
      <name val="Calibri"/>
    </font>
    <font>
      <i/>
      <sz val="10"/>
      <color rgb="FF666666"/>
      <name val="Calibri"/>
    </font>
    <font>
      <b/>
      <sz val="13"/>
      <color rgb="FF006400"/>
      <name val="Calibri"/>
    </font>
    <font>
      <b/>
      <sz val="11"/>
      <name val="Calibri"/>
    </font>
    <font>
      <b/>
      <sz val="16"/>
      <color rgb="FF006400"/>
      <name val="Calibri"/>
    </font>
    <font>
      <b/>
      <sz val="14"/>
      <name val="Calibri"/>
    </font>
    <font>
      <b/>
      <sz val="13"/>
      <name val="Calibri"/>
    </font>
    <font>
      <sz val="11"/>
      <color rgb="FF333333"/>
      <name val="Calibri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FFFACD"/>
        <bgColor rgb="FFFFFACD"/>
      </patternFill>
    </fill>
    <fill>
      <patternFill patternType="solid">
        <fgColor rgb="FF90EE90"/>
        <bgColor rgb="FF90EE90"/>
      </patternFill>
    </fill>
    <fill>
      <patternFill patternType="solid">
        <fgColor rgb="FFFFD700"/>
        <bgColor rgb="FFFFD700"/>
      </patternFill>
    </fill>
    <fill>
      <patternFill patternType="solid">
        <fgColor rgb="FFF0F8FF"/>
        <bgColor rgb="FFF0F8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AC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AC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0" fillId="7" borderId="0" xfId="0" applyFill="1"/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0" fillId="9" borderId="0" xfId="0" applyFill="1"/>
    <xf numFmtId="16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0" fillId="5" borderId="0" xfId="0" applyFont="1" applyFill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1" xfId="0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workbookViewId="0">
      <pane ySplit="1" topLeftCell="A2" activePane="bottomLeft" state="frozen"/>
      <selection pane="bottomLeft" activeCell="C1" sqref="C1:C1048576"/>
    </sheetView>
  </sheetViews>
  <sheetFormatPr defaultRowHeight="14.5" x14ac:dyDescent="0.35"/>
  <cols>
    <col min="1" max="1" width="8" customWidth="1"/>
    <col min="2" max="2" width="10" customWidth="1"/>
    <col min="3" max="3" width="15" customWidth="1"/>
    <col min="4" max="4" width="8" customWidth="1"/>
    <col min="5" max="5" width="25" customWidth="1"/>
    <col min="6" max="6" width="8" customWidth="1"/>
    <col min="7" max="7" width="4" customWidth="1"/>
    <col min="8" max="8" width="8" customWidth="1"/>
    <col min="9" max="10" width="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2" t="s">
        <v>10</v>
      </c>
      <c r="C2" s="2" t="s">
        <v>11</v>
      </c>
      <c r="D2" s="2" t="s">
        <v>12</v>
      </c>
      <c r="E2" s="3" t="s">
        <v>13</v>
      </c>
      <c r="F2" s="4">
        <v>2</v>
      </c>
      <c r="G2" s="2" t="s">
        <v>6</v>
      </c>
      <c r="H2" s="4">
        <v>0</v>
      </c>
      <c r="I2" s="3" t="s">
        <v>14</v>
      </c>
      <c r="J2" s="3" t="s">
        <v>15</v>
      </c>
    </row>
    <row r="3" spans="1:10" x14ac:dyDescent="0.35">
      <c r="A3" s="2">
        <v>2</v>
      </c>
      <c r="B3" s="2" t="s">
        <v>10</v>
      </c>
      <c r="C3" s="2" t="s">
        <v>16</v>
      </c>
      <c r="D3" s="2" t="s">
        <v>12</v>
      </c>
      <c r="E3" s="3" t="s">
        <v>17</v>
      </c>
      <c r="F3" s="4">
        <v>2</v>
      </c>
      <c r="G3" s="2" t="s">
        <v>6</v>
      </c>
      <c r="H3" s="4">
        <v>1</v>
      </c>
      <c r="I3" s="3" t="s">
        <v>18</v>
      </c>
      <c r="J3" s="3" t="s">
        <v>19</v>
      </c>
    </row>
    <row r="4" spans="1:10" x14ac:dyDescent="0.35">
      <c r="A4" s="2">
        <v>3</v>
      </c>
      <c r="B4" s="2" t="s">
        <v>20</v>
      </c>
      <c r="C4" s="2" t="s">
        <v>11</v>
      </c>
      <c r="D4" s="2" t="s">
        <v>21</v>
      </c>
      <c r="E4" s="3" t="s">
        <v>22</v>
      </c>
      <c r="F4" s="4">
        <v>1</v>
      </c>
      <c r="G4" s="2" t="s">
        <v>6</v>
      </c>
      <c r="H4" s="4">
        <v>1</v>
      </c>
      <c r="I4" s="3" t="s">
        <v>23</v>
      </c>
      <c r="J4" s="3" t="s">
        <v>24</v>
      </c>
    </row>
    <row r="5" spans="1:10" x14ac:dyDescent="0.35">
      <c r="A5" s="2">
        <v>4</v>
      </c>
      <c r="B5" s="2" t="s">
        <v>20</v>
      </c>
      <c r="C5" s="2" t="s">
        <v>25</v>
      </c>
      <c r="D5" s="2" t="s">
        <v>26</v>
      </c>
      <c r="E5" s="3" t="s">
        <v>27</v>
      </c>
      <c r="F5" s="4">
        <v>4</v>
      </c>
      <c r="G5" s="2" t="s">
        <v>6</v>
      </c>
      <c r="H5" s="4">
        <v>1</v>
      </c>
      <c r="I5" s="3" t="s">
        <v>28</v>
      </c>
      <c r="J5" s="3" t="s">
        <v>29</v>
      </c>
    </row>
    <row r="6" spans="1:10" x14ac:dyDescent="0.35">
      <c r="A6" s="2">
        <v>5</v>
      </c>
      <c r="B6" s="2" t="s">
        <v>30</v>
      </c>
      <c r="C6" s="2" t="s">
        <v>11</v>
      </c>
      <c r="D6" s="2" t="s">
        <v>21</v>
      </c>
      <c r="E6" s="3" t="s">
        <v>31</v>
      </c>
      <c r="F6" s="4">
        <v>1</v>
      </c>
      <c r="G6" s="2" t="s">
        <v>6</v>
      </c>
      <c r="H6" s="4">
        <v>1</v>
      </c>
      <c r="I6" s="3" t="s">
        <v>32</v>
      </c>
      <c r="J6" s="3" t="s">
        <v>33</v>
      </c>
    </row>
    <row r="7" spans="1:10" x14ac:dyDescent="0.35">
      <c r="A7" s="2">
        <v>6</v>
      </c>
      <c r="B7" s="2" t="s">
        <v>30</v>
      </c>
      <c r="C7" s="2" t="s">
        <v>34</v>
      </c>
      <c r="D7" s="2" t="s">
        <v>35</v>
      </c>
      <c r="E7" s="3" t="s">
        <v>36</v>
      </c>
      <c r="F7" s="4">
        <v>1</v>
      </c>
      <c r="G7" s="2" t="s">
        <v>6</v>
      </c>
      <c r="H7" s="4">
        <v>1</v>
      </c>
      <c r="I7" s="3" t="s">
        <v>37</v>
      </c>
      <c r="J7" s="3" t="s">
        <v>38</v>
      </c>
    </row>
    <row r="8" spans="1:10" x14ac:dyDescent="0.35">
      <c r="A8" s="2">
        <v>7</v>
      </c>
      <c r="B8" s="2" t="s">
        <v>30</v>
      </c>
      <c r="C8" s="2" t="s">
        <v>25</v>
      </c>
      <c r="D8" s="2" t="s">
        <v>35</v>
      </c>
      <c r="E8" s="3" t="s">
        <v>39</v>
      </c>
      <c r="F8" s="4">
        <v>0</v>
      </c>
      <c r="G8" s="2" t="s">
        <v>6</v>
      </c>
      <c r="H8" s="4">
        <v>1</v>
      </c>
      <c r="I8" s="3" t="s">
        <v>40</v>
      </c>
      <c r="J8" s="3" t="s">
        <v>41</v>
      </c>
    </row>
    <row r="9" spans="1:10" x14ac:dyDescent="0.35">
      <c r="A9" s="2">
        <v>8</v>
      </c>
      <c r="B9" s="2" t="s">
        <v>42</v>
      </c>
      <c r="C9" s="2" t="s">
        <v>43</v>
      </c>
      <c r="D9" s="2" t="s">
        <v>26</v>
      </c>
      <c r="E9" s="3" t="s">
        <v>44</v>
      </c>
      <c r="F9" s="4">
        <v>2</v>
      </c>
      <c r="G9" s="2" t="s">
        <v>6</v>
      </c>
      <c r="H9" s="4">
        <v>0</v>
      </c>
      <c r="I9" s="3" t="s">
        <v>45</v>
      </c>
      <c r="J9" s="3" t="s">
        <v>46</v>
      </c>
    </row>
    <row r="10" spans="1:10" x14ac:dyDescent="0.35">
      <c r="A10" s="2">
        <v>9</v>
      </c>
      <c r="B10" s="2" t="s">
        <v>42</v>
      </c>
      <c r="C10" s="2" t="s">
        <v>47</v>
      </c>
      <c r="D10" s="2" t="s">
        <v>48</v>
      </c>
      <c r="E10" s="3" t="s">
        <v>49</v>
      </c>
      <c r="F10" s="4">
        <v>7</v>
      </c>
      <c r="G10" s="2" t="s">
        <v>6</v>
      </c>
      <c r="H10" s="4">
        <v>1</v>
      </c>
      <c r="I10" s="3" t="s">
        <v>50</v>
      </c>
      <c r="J10" s="3" t="s">
        <v>51</v>
      </c>
    </row>
    <row r="11" spans="1:10" x14ac:dyDescent="0.35">
      <c r="A11" s="2">
        <v>10</v>
      </c>
      <c r="B11" s="2" t="s">
        <v>42</v>
      </c>
      <c r="C11" s="2" t="s">
        <v>52</v>
      </c>
      <c r="D11" s="2" t="s">
        <v>53</v>
      </c>
      <c r="E11" s="3" t="s">
        <v>54</v>
      </c>
      <c r="F11" s="4">
        <v>2</v>
      </c>
      <c r="G11" s="2" t="s">
        <v>6</v>
      </c>
      <c r="H11" s="4">
        <v>2</v>
      </c>
      <c r="I11" s="3" t="s">
        <v>55</v>
      </c>
      <c r="J11" s="3" t="s">
        <v>56</v>
      </c>
    </row>
    <row r="12" spans="1:10" x14ac:dyDescent="0.35">
      <c r="A12" s="2">
        <v>11</v>
      </c>
      <c r="B12" s="2" t="s">
        <v>42</v>
      </c>
      <c r="C12" s="2" t="s">
        <v>57</v>
      </c>
      <c r="D12" s="2" t="s">
        <v>48</v>
      </c>
      <c r="E12" s="3" t="s">
        <v>58</v>
      </c>
      <c r="F12" s="4">
        <v>1</v>
      </c>
      <c r="G12" s="2" t="s">
        <v>6</v>
      </c>
      <c r="H12" s="4">
        <v>0</v>
      </c>
      <c r="I12" s="3" t="s">
        <v>59</v>
      </c>
      <c r="J12" s="3" t="s">
        <v>60</v>
      </c>
    </row>
    <row r="13" spans="1:10" x14ac:dyDescent="0.35">
      <c r="A13" s="2">
        <v>12</v>
      </c>
      <c r="B13" s="2" t="s">
        <v>42</v>
      </c>
      <c r="C13" s="2" t="s">
        <v>16</v>
      </c>
      <c r="D13" s="2" t="s">
        <v>53</v>
      </c>
      <c r="E13" s="3" t="s">
        <v>61</v>
      </c>
      <c r="F13" s="4">
        <v>5</v>
      </c>
      <c r="G13" s="2" t="s">
        <v>6</v>
      </c>
      <c r="H13" s="4">
        <v>1</v>
      </c>
      <c r="I13" s="3" t="s">
        <v>62</v>
      </c>
      <c r="J13" s="3" t="s">
        <v>63</v>
      </c>
    </row>
    <row r="14" spans="1:10" x14ac:dyDescent="0.35">
      <c r="A14" s="2">
        <v>13</v>
      </c>
      <c r="B14" s="2" t="s">
        <v>64</v>
      </c>
      <c r="C14" s="2" t="s">
        <v>65</v>
      </c>
      <c r="D14" s="2" t="s">
        <v>66</v>
      </c>
      <c r="E14" s="3" t="s">
        <v>67</v>
      </c>
      <c r="F14" s="4">
        <v>0</v>
      </c>
      <c r="G14" s="2" t="s">
        <v>6</v>
      </c>
      <c r="H14" s="4">
        <v>0</v>
      </c>
      <c r="I14" s="3" t="s">
        <v>68</v>
      </c>
      <c r="J14" s="3" t="s">
        <v>69</v>
      </c>
    </row>
    <row r="15" spans="1:10" x14ac:dyDescent="0.35">
      <c r="A15" s="2">
        <v>14</v>
      </c>
      <c r="B15" s="2" t="s">
        <v>64</v>
      </c>
      <c r="C15" s="2" t="s">
        <v>11</v>
      </c>
      <c r="D15" s="2" t="s">
        <v>70</v>
      </c>
      <c r="E15" s="3" t="s">
        <v>71</v>
      </c>
      <c r="F15" s="4">
        <v>1</v>
      </c>
      <c r="G15" s="2" t="s">
        <v>6</v>
      </c>
      <c r="H15" s="4">
        <v>1</v>
      </c>
      <c r="I15" s="3" t="s">
        <v>72</v>
      </c>
      <c r="J15" s="3" t="s">
        <v>73</v>
      </c>
    </row>
    <row r="16" spans="1:10" x14ac:dyDescent="0.35">
      <c r="A16" s="2">
        <v>15</v>
      </c>
      <c r="B16" s="2" t="s">
        <v>64</v>
      </c>
      <c r="C16" s="2" t="s">
        <v>34</v>
      </c>
      <c r="D16" s="2" t="s">
        <v>66</v>
      </c>
      <c r="E16" s="3" t="s">
        <v>74</v>
      </c>
      <c r="F16" s="4">
        <v>1</v>
      </c>
      <c r="G16" s="2" t="s">
        <v>6</v>
      </c>
      <c r="H16" s="4">
        <v>1</v>
      </c>
      <c r="I16" s="3" t="s">
        <v>75</v>
      </c>
      <c r="J16" s="3" t="s">
        <v>76</v>
      </c>
    </row>
    <row r="17" spans="1:10" x14ac:dyDescent="0.35">
      <c r="A17" s="2">
        <v>16</v>
      </c>
      <c r="B17" s="2" t="s">
        <v>64</v>
      </c>
      <c r="C17" s="2" t="s">
        <v>25</v>
      </c>
      <c r="D17" s="2" t="s">
        <v>70</v>
      </c>
      <c r="E17" s="3" t="s">
        <v>77</v>
      </c>
      <c r="F17" s="4">
        <v>2</v>
      </c>
      <c r="G17" s="2" t="s">
        <v>6</v>
      </c>
      <c r="H17" s="4">
        <v>2</v>
      </c>
      <c r="I17" s="3" t="s">
        <v>78</v>
      </c>
      <c r="J17" s="3" t="s">
        <v>29</v>
      </c>
    </row>
    <row r="18" spans="1:10" x14ac:dyDescent="0.35">
      <c r="A18" s="2">
        <v>17</v>
      </c>
      <c r="B18" s="2" t="s">
        <v>79</v>
      </c>
      <c r="C18" s="2" t="s">
        <v>11</v>
      </c>
      <c r="D18" s="2" t="s">
        <v>80</v>
      </c>
      <c r="E18" s="3" t="s">
        <v>81</v>
      </c>
      <c r="F18" s="4">
        <v>3</v>
      </c>
      <c r="G18" s="2" t="s">
        <v>6</v>
      </c>
      <c r="H18" s="4">
        <v>1</v>
      </c>
      <c r="I18" s="3" t="s">
        <v>82</v>
      </c>
      <c r="J18" s="3" t="s">
        <v>38</v>
      </c>
    </row>
    <row r="19" spans="1:10" x14ac:dyDescent="0.35">
      <c r="A19" s="2">
        <v>18</v>
      </c>
      <c r="B19" s="2" t="s">
        <v>79</v>
      </c>
      <c r="C19" s="2" t="s">
        <v>34</v>
      </c>
      <c r="D19" s="2" t="s">
        <v>80</v>
      </c>
      <c r="E19" s="3" t="s">
        <v>83</v>
      </c>
      <c r="F19" s="4">
        <v>1</v>
      </c>
      <c r="G19" s="2" t="s">
        <v>6</v>
      </c>
      <c r="H19" s="4">
        <v>4</v>
      </c>
      <c r="I19" s="3" t="s">
        <v>84</v>
      </c>
      <c r="J19" s="3" t="s">
        <v>41</v>
      </c>
    </row>
    <row r="20" spans="1:10" x14ac:dyDescent="0.35">
      <c r="A20" s="2">
        <v>19</v>
      </c>
      <c r="B20" s="2" t="s">
        <v>79</v>
      </c>
      <c r="C20" s="2" t="s">
        <v>25</v>
      </c>
      <c r="D20" s="2" t="s">
        <v>85</v>
      </c>
      <c r="E20" s="3" t="s">
        <v>86</v>
      </c>
      <c r="F20" s="4">
        <v>3</v>
      </c>
      <c r="G20" s="2" t="s">
        <v>6</v>
      </c>
      <c r="H20" s="4">
        <v>0</v>
      </c>
      <c r="I20" s="3" t="s">
        <v>87</v>
      </c>
      <c r="J20" s="3" t="s">
        <v>88</v>
      </c>
    </row>
    <row r="21" spans="1:10" x14ac:dyDescent="0.35">
      <c r="A21" s="2">
        <v>20</v>
      </c>
      <c r="B21" s="2" t="s">
        <v>89</v>
      </c>
      <c r="C21" s="2" t="s">
        <v>43</v>
      </c>
      <c r="D21" s="2" t="s">
        <v>85</v>
      </c>
      <c r="E21" s="3" t="s">
        <v>90</v>
      </c>
      <c r="F21" s="4">
        <v>3</v>
      </c>
      <c r="G21" s="2" t="s">
        <v>6</v>
      </c>
      <c r="H21" s="4">
        <v>1</v>
      </c>
      <c r="I21" s="3" t="s">
        <v>91</v>
      </c>
      <c r="J21" s="3" t="s">
        <v>33</v>
      </c>
    </row>
    <row r="22" spans="1:10" x14ac:dyDescent="0.35">
      <c r="A22" s="2">
        <v>21</v>
      </c>
      <c r="B22" s="2" t="s">
        <v>89</v>
      </c>
      <c r="C22" s="2" t="s">
        <v>47</v>
      </c>
      <c r="D22" s="2" t="s">
        <v>92</v>
      </c>
      <c r="E22" s="3" t="s">
        <v>93</v>
      </c>
      <c r="F22" s="4">
        <v>1</v>
      </c>
      <c r="G22" s="2" t="s">
        <v>6</v>
      </c>
      <c r="H22" s="4">
        <v>1</v>
      </c>
      <c r="I22" s="3" t="s">
        <v>94</v>
      </c>
      <c r="J22" s="3" t="s">
        <v>51</v>
      </c>
    </row>
    <row r="23" spans="1:10" x14ac:dyDescent="0.35">
      <c r="A23" s="2">
        <v>22</v>
      </c>
      <c r="B23" s="2" t="s">
        <v>89</v>
      </c>
      <c r="C23" s="2" t="s">
        <v>52</v>
      </c>
      <c r="D23" s="2" t="s">
        <v>95</v>
      </c>
      <c r="E23" s="3" t="s">
        <v>96</v>
      </c>
      <c r="F23" s="4">
        <v>4</v>
      </c>
      <c r="G23" s="2" t="s">
        <v>6</v>
      </c>
      <c r="H23" s="4">
        <v>2</v>
      </c>
      <c r="I23" s="3" t="s">
        <v>97</v>
      </c>
      <c r="J23" s="3" t="s">
        <v>56</v>
      </c>
    </row>
    <row r="24" spans="1:10" x14ac:dyDescent="0.35">
      <c r="A24" s="2">
        <v>23</v>
      </c>
      <c r="B24" s="2" t="s">
        <v>89</v>
      </c>
      <c r="C24" s="2" t="s">
        <v>57</v>
      </c>
      <c r="D24" s="2" t="s">
        <v>95</v>
      </c>
      <c r="E24" s="3" t="s">
        <v>98</v>
      </c>
      <c r="F24" s="4">
        <v>1</v>
      </c>
      <c r="G24" s="2" t="s">
        <v>6</v>
      </c>
      <c r="H24" s="4">
        <v>0</v>
      </c>
      <c r="I24" s="3" t="s">
        <v>99</v>
      </c>
      <c r="J24" s="3" t="s">
        <v>24</v>
      </c>
    </row>
    <row r="25" spans="1:10" x14ac:dyDescent="0.35">
      <c r="A25" s="2">
        <v>24</v>
      </c>
      <c r="B25" s="2" t="s">
        <v>89</v>
      </c>
      <c r="C25" s="2" t="s">
        <v>16</v>
      </c>
      <c r="D25" s="2" t="s">
        <v>92</v>
      </c>
      <c r="E25" s="3" t="s">
        <v>100</v>
      </c>
      <c r="F25" s="4">
        <v>1</v>
      </c>
      <c r="G25" s="2" t="s">
        <v>6</v>
      </c>
      <c r="H25" s="4">
        <v>3</v>
      </c>
      <c r="I25" s="3" t="s">
        <v>101</v>
      </c>
      <c r="J25" s="3" t="s">
        <v>15</v>
      </c>
    </row>
    <row r="26" spans="1:10" x14ac:dyDescent="0.35">
      <c r="A26" s="2">
        <v>25</v>
      </c>
      <c r="B26" s="2" t="s">
        <v>102</v>
      </c>
      <c r="C26" s="2" t="s">
        <v>65</v>
      </c>
      <c r="D26" s="2" t="s">
        <v>12</v>
      </c>
      <c r="E26" s="3" t="s">
        <v>18</v>
      </c>
      <c r="F26" s="4">
        <v>1</v>
      </c>
      <c r="G26" s="2" t="s">
        <v>6</v>
      </c>
      <c r="H26" s="4">
        <v>1</v>
      </c>
      <c r="I26" s="3" t="s">
        <v>14</v>
      </c>
      <c r="J26" s="3" t="s">
        <v>69</v>
      </c>
    </row>
    <row r="27" spans="1:10" x14ac:dyDescent="0.35">
      <c r="A27" s="2">
        <v>26</v>
      </c>
      <c r="B27" s="2" t="s">
        <v>102</v>
      </c>
      <c r="C27" s="2" t="s">
        <v>11</v>
      </c>
      <c r="D27" s="2" t="s">
        <v>21</v>
      </c>
      <c r="E27" s="3" t="s">
        <v>32</v>
      </c>
      <c r="F27" s="4">
        <v>4</v>
      </c>
      <c r="G27" s="2" t="s">
        <v>6</v>
      </c>
      <c r="H27" s="4">
        <v>1</v>
      </c>
      <c r="I27" s="3" t="s">
        <v>23</v>
      </c>
      <c r="J27" s="3" t="s">
        <v>29</v>
      </c>
    </row>
    <row r="28" spans="1:10" x14ac:dyDescent="0.35">
      <c r="A28" s="2">
        <v>27</v>
      </c>
      <c r="B28" s="2" t="s">
        <v>102</v>
      </c>
      <c r="C28" s="2" t="s">
        <v>34</v>
      </c>
      <c r="D28" s="2" t="s">
        <v>21</v>
      </c>
      <c r="E28" s="3" t="s">
        <v>22</v>
      </c>
      <c r="F28" s="4">
        <v>6</v>
      </c>
      <c r="G28" s="2" t="s">
        <v>6</v>
      </c>
      <c r="H28" s="4">
        <v>0</v>
      </c>
      <c r="I28" s="3" t="s">
        <v>31</v>
      </c>
      <c r="J28" s="3" t="s">
        <v>46</v>
      </c>
    </row>
    <row r="29" spans="1:10" x14ac:dyDescent="0.35">
      <c r="A29" s="2">
        <v>28</v>
      </c>
      <c r="B29" s="2" t="s">
        <v>102</v>
      </c>
      <c r="C29" s="2" t="s">
        <v>25</v>
      </c>
      <c r="D29" s="2" t="s">
        <v>12</v>
      </c>
      <c r="E29" s="3" t="s">
        <v>13</v>
      </c>
      <c r="F29" s="4">
        <v>1</v>
      </c>
      <c r="G29" s="2" t="s">
        <v>6</v>
      </c>
      <c r="H29" s="4">
        <v>0</v>
      </c>
      <c r="I29" s="3" t="s">
        <v>17</v>
      </c>
      <c r="J29" s="3" t="s">
        <v>19</v>
      </c>
    </row>
    <row r="30" spans="1:10" x14ac:dyDescent="0.35">
      <c r="A30" s="2">
        <v>29</v>
      </c>
      <c r="B30" s="2" t="s">
        <v>103</v>
      </c>
      <c r="C30" s="2" t="s">
        <v>11</v>
      </c>
      <c r="D30" s="2" t="s">
        <v>26</v>
      </c>
      <c r="E30" s="3" t="s">
        <v>27</v>
      </c>
      <c r="F30" s="4">
        <v>2</v>
      </c>
      <c r="G30" s="2" t="s">
        <v>6</v>
      </c>
      <c r="H30" s="4">
        <v>0</v>
      </c>
      <c r="I30" s="3" t="s">
        <v>44</v>
      </c>
      <c r="J30" s="3" t="s">
        <v>73</v>
      </c>
    </row>
    <row r="31" spans="1:10" x14ac:dyDescent="0.35">
      <c r="A31" s="2">
        <v>30</v>
      </c>
      <c r="B31" s="2" t="s">
        <v>103</v>
      </c>
      <c r="C31" s="2" t="s">
        <v>34</v>
      </c>
      <c r="D31" s="2" t="s">
        <v>35</v>
      </c>
      <c r="E31" s="3" t="s">
        <v>40</v>
      </c>
      <c r="F31" s="4">
        <v>0</v>
      </c>
      <c r="G31" s="2" t="s">
        <v>6</v>
      </c>
      <c r="H31" s="4">
        <v>1</v>
      </c>
      <c r="I31" s="3" t="s">
        <v>37</v>
      </c>
      <c r="J31" s="3" t="s">
        <v>41</v>
      </c>
    </row>
    <row r="32" spans="1:10" x14ac:dyDescent="0.35">
      <c r="A32" s="2">
        <v>31</v>
      </c>
      <c r="B32" s="2" t="s">
        <v>103</v>
      </c>
      <c r="C32" s="2" t="s">
        <v>104</v>
      </c>
      <c r="D32" s="2" t="s">
        <v>35</v>
      </c>
      <c r="E32" s="3" t="s">
        <v>36</v>
      </c>
      <c r="F32" s="4">
        <v>3</v>
      </c>
      <c r="G32" s="2" t="s">
        <v>6</v>
      </c>
      <c r="H32" s="4">
        <v>0</v>
      </c>
      <c r="I32" s="3" t="s">
        <v>39</v>
      </c>
      <c r="J32" s="3" t="s">
        <v>60</v>
      </c>
    </row>
    <row r="33" spans="1:10" x14ac:dyDescent="0.35">
      <c r="A33" s="2">
        <v>32</v>
      </c>
      <c r="B33" s="2" t="s">
        <v>105</v>
      </c>
      <c r="C33" s="2" t="s">
        <v>43</v>
      </c>
      <c r="D33" s="2" t="s">
        <v>26</v>
      </c>
      <c r="E33" s="3" t="s">
        <v>45</v>
      </c>
      <c r="F33" s="4">
        <v>0</v>
      </c>
      <c r="G33" s="2" t="s">
        <v>6</v>
      </c>
      <c r="H33" s="4">
        <v>1</v>
      </c>
      <c r="I33" s="3" t="s">
        <v>28</v>
      </c>
      <c r="J33" s="3" t="s">
        <v>33</v>
      </c>
    </row>
    <row r="34" spans="1:10" x14ac:dyDescent="0.35">
      <c r="A34" s="2">
        <v>33</v>
      </c>
      <c r="B34" s="2" t="s">
        <v>105</v>
      </c>
      <c r="C34" s="2" t="s">
        <v>47</v>
      </c>
      <c r="D34" s="2" t="s">
        <v>48</v>
      </c>
      <c r="E34" s="3" t="s">
        <v>49</v>
      </c>
      <c r="F34" s="4">
        <v>2</v>
      </c>
      <c r="G34" s="2" t="s">
        <v>6</v>
      </c>
      <c r="H34" s="4">
        <v>1</v>
      </c>
      <c r="I34" s="3" t="s">
        <v>58</v>
      </c>
      <c r="J34" s="3" t="s">
        <v>24</v>
      </c>
    </row>
    <row r="35" spans="1:10" x14ac:dyDescent="0.35">
      <c r="A35" s="2">
        <v>34</v>
      </c>
      <c r="B35" s="2" t="s">
        <v>105</v>
      </c>
      <c r="C35" s="2" t="s">
        <v>52</v>
      </c>
      <c r="D35" s="2" t="s">
        <v>48</v>
      </c>
      <c r="E35" s="3" t="s">
        <v>59</v>
      </c>
      <c r="F35" s="4">
        <v>0</v>
      </c>
      <c r="G35" s="2" t="s">
        <v>6</v>
      </c>
      <c r="H35" s="4">
        <v>0</v>
      </c>
      <c r="I35" s="3" t="s">
        <v>50</v>
      </c>
      <c r="J35" s="3" t="s">
        <v>88</v>
      </c>
    </row>
    <row r="36" spans="1:10" x14ac:dyDescent="0.35">
      <c r="A36" s="2">
        <v>35</v>
      </c>
      <c r="B36" s="2" t="s">
        <v>105</v>
      </c>
      <c r="C36" s="2" t="s">
        <v>47</v>
      </c>
      <c r="D36" s="2" t="s">
        <v>53</v>
      </c>
      <c r="E36" s="3" t="s">
        <v>54</v>
      </c>
      <c r="F36" s="4">
        <v>5</v>
      </c>
      <c r="G36" s="2" t="s">
        <v>6</v>
      </c>
      <c r="H36" s="4">
        <v>1</v>
      </c>
      <c r="I36" s="3" t="s">
        <v>61</v>
      </c>
      <c r="J36" s="3" t="s">
        <v>51</v>
      </c>
    </row>
    <row r="37" spans="1:10" x14ac:dyDescent="0.35">
      <c r="A37" s="2">
        <v>36</v>
      </c>
      <c r="B37" s="2" t="s">
        <v>106</v>
      </c>
      <c r="C37" s="2" t="s">
        <v>43</v>
      </c>
      <c r="D37" s="2" t="s">
        <v>53</v>
      </c>
      <c r="E37" s="3" t="s">
        <v>62</v>
      </c>
      <c r="F37" s="4">
        <v>0</v>
      </c>
      <c r="G37" s="2" t="s">
        <v>6</v>
      </c>
      <c r="H37" s="4">
        <v>4</v>
      </c>
      <c r="I37" s="3" t="s">
        <v>55</v>
      </c>
      <c r="J37" s="3" t="s">
        <v>63</v>
      </c>
    </row>
    <row r="38" spans="1:10" x14ac:dyDescent="0.35">
      <c r="A38" s="2">
        <v>37</v>
      </c>
      <c r="B38" s="2" t="s">
        <v>106</v>
      </c>
      <c r="C38" s="2" t="s">
        <v>65</v>
      </c>
      <c r="D38" s="2" t="s">
        <v>66</v>
      </c>
      <c r="E38" s="3" t="s">
        <v>67</v>
      </c>
      <c r="F38" s="4">
        <v>4</v>
      </c>
      <c r="G38" s="2" t="s">
        <v>6</v>
      </c>
      <c r="H38" s="4">
        <v>0</v>
      </c>
      <c r="I38" s="3" t="s">
        <v>74</v>
      </c>
      <c r="J38" s="3" t="s">
        <v>69</v>
      </c>
    </row>
    <row r="39" spans="1:10" x14ac:dyDescent="0.35">
      <c r="A39" s="2">
        <v>38</v>
      </c>
      <c r="B39" s="2" t="s">
        <v>106</v>
      </c>
      <c r="C39" s="2" t="s">
        <v>11</v>
      </c>
      <c r="D39" s="2" t="s">
        <v>70</v>
      </c>
      <c r="E39" s="3" t="s">
        <v>71</v>
      </c>
      <c r="F39" s="4">
        <v>0</v>
      </c>
      <c r="G39" s="2" t="s">
        <v>6</v>
      </c>
      <c r="H39" s="4">
        <v>0</v>
      </c>
      <c r="I39" s="3" t="s">
        <v>77</v>
      </c>
      <c r="J39" s="3" t="s">
        <v>29</v>
      </c>
    </row>
    <row r="40" spans="1:10" x14ac:dyDescent="0.35">
      <c r="A40" s="2">
        <v>39</v>
      </c>
      <c r="B40" s="2" t="s">
        <v>106</v>
      </c>
      <c r="C40" s="2" t="s">
        <v>34</v>
      </c>
      <c r="D40" s="2" t="s">
        <v>66</v>
      </c>
      <c r="E40" s="3" t="s">
        <v>75</v>
      </c>
      <c r="F40" s="4">
        <v>2</v>
      </c>
      <c r="G40" s="2" t="s">
        <v>6</v>
      </c>
      <c r="H40" s="4">
        <v>2</v>
      </c>
      <c r="I40" s="3" t="s">
        <v>68</v>
      </c>
      <c r="J40" s="3" t="s">
        <v>76</v>
      </c>
    </row>
    <row r="41" spans="1:10" x14ac:dyDescent="0.35">
      <c r="A41" s="2">
        <v>40</v>
      </c>
      <c r="B41" s="2" t="s">
        <v>106</v>
      </c>
      <c r="C41" s="2" t="s">
        <v>25</v>
      </c>
      <c r="D41" s="2" t="s">
        <v>70</v>
      </c>
      <c r="E41" s="3" t="s">
        <v>78</v>
      </c>
      <c r="F41" s="4">
        <v>1</v>
      </c>
      <c r="G41" s="2" t="s">
        <v>6</v>
      </c>
      <c r="H41" s="4">
        <v>3</v>
      </c>
      <c r="I41" s="3" t="s">
        <v>72</v>
      </c>
      <c r="J41" s="3" t="s">
        <v>46</v>
      </c>
    </row>
    <row r="42" spans="1:10" x14ac:dyDescent="0.35">
      <c r="A42" s="2">
        <v>41</v>
      </c>
      <c r="B42" s="2" t="s">
        <v>107</v>
      </c>
      <c r="C42" s="2" t="s">
        <v>108</v>
      </c>
      <c r="D42" s="2" t="s">
        <v>80</v>
      </c>
      <c r="E42" s="3" t="s">
        <v>81</v>
      </c>
      <c r="F42" s="4">
        <v>3</v>
      </c>
      <c r="G42" s="2" t="s">
        <v>6</v>
      </c>
      <c r="H42" s="4">
        <v>0</v>
      </c>
      <c r="I42" s="3" t="s">
        <v>83</v>
      </c>
      <c r="J42" s="3" t="s">
        <v>60</v>
      </c>
    </row>
    <row r="43" spans="1:10" x14ac:dyDescent="0.35">
      <c r="A43" s="2">
        <v>42</v>
      </c>
      <c r="B43" s="2" t="s">
        <v>107</v>
      </c>
      <c r="C43" s="2" t="s">
        <v>109</v>
      </c>
      <c r="D43" s="2" t="s">
        <v>80</v>
      </c>
      <c r="E43" s="3" t="s">
        <v>84</v>
      </c>
      <c r="F43" s="4">
        <v>3</v>
      </c>
      <c r="G43" s="2" t="s">
        <v>6</v>
      </c>
      <c r="H43" s="4">
        <v>2</v>
      </c>
      <c r="I43" s="3" t="s">
        <v>82</v>
      </c>
      <c r="J43" s="3" t="s">
        <v>38</v>
      </c>
    </row>
    <row r="44" spans="1:10" x14ac:dyDescent="0.35">
      <c r="A44" s="2">
        <v>43</v>
      </c>
      <c r="B44" s="2" t="s">
        <v>107</v>
      </c>
      <c r="C44" s="2" t="s">
        <v>108</v>
      </c>
      <c r="D44" s="2" t="s">
        <v>85</v>
      </c>
      <c r="E44" s="3" t="s">
        <v>86</v>
      </c>
      <c r="F44" s="4">
        <v>2</v>
      </c>
      <c r="G44" s="2" t="s">
        <v>6</v>
      </c>
      <c r="H44" s="4">
        <v>0</v>
      </c>
      <c r="I44" s="3" t="s">
        <v>90</v>
      </c>
      <c r="J44" s="3" t="s">
        <v>56</v>
      </c>
    </row>
    <row r="45" spans="1:10" x14ac:dyDescent="0.35">
      <c r="A45" s="2">
        <v>44</v>
      </c>
      <c r="B45" s="2" t="s">
        <v>107</v>
      </c>
      <c r="C45" s="2" t="s">
        <v>109</v>
      </c>
      <c r="D45" s="2" t="s">
        <v>85</v>
      </c>
      <c r="E45" s="3" t="s">
        <v>91</v>
      </c>
      <c r="F45" s="4">
        <v>1</v>
      </c>
      <c r="G45" s="2" t="s">
        <v>6</v>
      </c>
      <c r="H45" s="4">
        <v>2</v>
      </c>
      <c r="I45" s="3" t="s">
        <v>87</v>
      </c>
      <c r="J45" s="3" t="s">
        <v>33</v>
      </c>
    </row>
    <row r="46" spans="1:10" x14ac:dyDescent="0.35">
      <c r="A46" s="2">
        <v>45</v>
      </c>
      <c r="B46" s="2" t="s">
        <v>110</v>
      </c>
      <c r="C46" s="2" t="s">
        <v>11</v>
      </c>
      <c r="D46" s="2" t="s">
        <v>95</v>
      </c>
      <c r="E46" s="3" t="s">
        <v>96</v>
      </c>
      <c r="F46" s="4">
        <v>0</v>
      </c>
      <c r="G46" s="2" t="s">
        <v>6</v>
      </c>
      <c r="H46" s="4">
        <v>0</v>
      </c>
      <c r="I46" s="3" t="s">
        <v>98</v>
      </c>
      <c r="J46" s="3" t="s">
        <v>41</v>
      </c>
    </row>
    <row r="47" spans="1:10" x14ac:dyDescent="0.35">
      <c r="A47" s="2">
        <v>46</v>
      </c>
      <c r="B47" s="2" t="s">
        <v>110</v>
      </c>
      <c r="C47" s="2" t="s">
        <v>11</v>
      </c>
      <c r="D47" s="2" t="s">
        <v>95</v>
      </c>
      <c r="E47" s="3" t="s">
        <v>99</v>
      </c>
      <c r="F47" s="4">
        <v>0</v>
      </c>
      <c r="G47" s="2" t="s">
        <v>6</v>
      </c>
      <c r="H47" s="4">
        <v>1</v>
      </c>
      <c r="I47" s="3" t="s">
        <v>97</v>
      </c>
      <c r="J47" s="3" t="s">
        <v>24</v>
      </c>
    </row>
    <row r="48" spans="1:10" x14ac:dyDescent="0.35">
      <c r="A48" s="2">
        <v>47</v>
      </c>
      <c r="B48" s="2" t="s">
        <v>110</v>
      </c>
      <c r="C48" s="2" t="s">
        <v>11</v>
      </c>
      <c r="D48" s="2" t="s">
        <v>92</v>
      </c>
      <c r="E48" s="3" t="s">
        <v>93</v>
      </c>
      <c r="F48" s="4">
        <v>5</v>
      </c>
      <c r="G48" s="2" t="s">
        <v>6</v>
      </c>
      <c r="H48" s="4">
        <v>0</v>
      </c>
      <c r="I48" s="3" t="s">
        <v>100</v>
      </c>
      <c r="J48" s="3" t="s">
        <v>51</v>
      </c>
    </row>
    <row r="49" spans="1:10" x14ac:dyDescent="0.35">
      <c r="A49" s="2">
        <v>48</v>
      </c>
      <c r="B49" s="2" t="s">
        <v>110</v>
      </c>
      <c r="C49" s="2" t="s">
        <v>34</v>
      </c>
      <c r="D49" s="2" t="s">
        <v>92</v>
      </c>
      <c r="E49" s="3" t="s">
        <v>101</v>
      </c>
      <c r="F49" s="4">
        <v>1</v>
      </c>
      <c r="G49" s="2" t="s">
        <v>6</v>
      </c>
      <c r="H49" s="4">
        <v>0</v>
      </c>
      <c r="I49" s="3" t="s">
        <v>94</v>
      </c>
      <c r="J49" s="3" t="s">
        <v>19</v>
      </c>
    </row>
    <row r="50" spans="1:10" x14ac:dyDescent="0.35">
      <c r="A50" s="2">
        <v>49</v>
      </c>
      <c r="B50" s="2" t="s">
        <v>111</v>
      </c>
      <c r="C50" s="2" t="s">
        <v>34</v>
      </c>
      <c r="D50" s="2" t="s">
        <v>35</v>
      </c>
      <c r="E50" s="3" t="s">
        <v>40</v>
      </c>
      <c r="F50" s="4">
        <v>0</v>
      </c>
      <c r="G50" s="2" t="s">
        <v>6</v>
      </c>
      <c r="H50" s="4">
        <v>3</v>
      </c>
      <c r="I50" s="3" t="s">
        <v>36</v>
      </c>
      <c r="J50" s="3" t="s">
        <v>76</v>
      </c>
    </row>
    <row r="51" spans="1:10" x14ac:dyDescent="0.35">
      <c r="A51" s="2">
        <v>50</v>
      </c>
      <c r="B51" s="2" t="s">
        <v>111</v>
      </c>
      <c r="C51" s="2" t="s">
        <v>34</v>
      </c>
      <c r="D51" s="2" t="s">
        <v>35</v>
      </c>
      <c r="E51" s="3" t="s">
        <v>37</v>
      </c>
      <c r="F51" s="4">
        <v>4</v>
      </c>
      <c r="G51" s="2" t="s">
        <v>6</v>
      </c>
      <c r="H51" s="4">
        <v>2</v>
      </c>
      <c r="I51" s="3" t="s">
        <v>39</v>
      </c>
      <c r="J51" s="3" t="s">
        <v>69</v>
      </c>
    </row>
    <row r="52" spans="1:10" x14ac:dyDescent="0.35">
      <c r="A52" s="2">
        <v>51</v>
      </c>
      <c r="B52" s="2" t="s">
        <v>111</v>
      </c>
      <c r="C52" s="2" t="s">
        <v>11</v>
      </c>
      <c r="D52" s="2" t="s">
        <v>21</v>
      </c>
      <c r="E52" s="3" t="s">
        <v>32</v>
      </c>
      <c r="F52" s="4">
        <v>2</v>
      </c>
      <c r="G52" s="2" t="s">
        <v>6</v>
      </c>
      <c r="H52" s="4">
        <v>1</v>
      </c>
      <c r="I52" s="3" t="s">
        <v>22</v>
      </c>
      <c r="J52" s="3" t="s">
        <v>46</v>
      </c>
    </row>
    <row r="53" spans="1:10" x14ac:dyDescent="0.35">
      <c r="A53" s="2">
        <v>52</v>
      </c>
      <c r="B53" s="2" t="s">
        <v>111</v>
      </c>
      <c r="C53" s="2" t="s">
        <v>11</v>
      </c>
      <c r="D53" s="2" t="s">
        <v>21</v>
      </c>
      <c r="E53" s="3" t="s">
        <v>23</v>
      </c>
      <c r="F53" s="4">
        <v>3</v>
      </c>
      <c r="G53" s="2" t="s">
        <v>6</v>
      </c>
      <c r="H53" s="4">
        <v>1</v>
      </c>
      <c r="I53" s="3" t="s">
        <v>31</v>
      </c>
      <c r="J53" s="3" t="s">
        <v>73</v>
      </c>
    </row>
    <row r="54" spans="1:10" x14ac:dyDescent="0.35">
      <c r="A54" s="2">
        <v>53</v>
      </c>
      <c r="B54" s="2" t="s">
        <v>111</v>
      </c>
      <c r="C54" s="2" t="s">
        <v>25</v>
      </c>
      <c r="D54" s="2" t="s">
        <v>12</v>
      </c>
      <c r="E54" s="3" t="s">
        <v>18</v>
      </c>
      <c r="F54" s="4">
        <v>0</v>
      </c>
      <c r="G54" s="2" t="s">
        <v>6</v>
      </c>
      <c r="H54" s="4">
        <v>3</v>
      </c>
      <c r="I54" s="3" t="s">
        <v>13</v>
      </c>
      <c r="J54" s="3" t="s">
        <v>15</v>
      </c>
    </row>
    <row r="55" spans="1:10" x14ac:dyDescent="0.35">
      <c r="A55" s="2">
        <v>54</v>
      </c>
      <c r="B55" s="2" t="s">
        <v>111</v>
      </c>
      <c r="C55" s="2" t="s">
        <v>25</v>
      </c>
      <c r="D55" s="2" t="s">
        <v>12</v>
      </c>
      <c r="E55" s="3" t="s">
        <v>14</v>
      </c>
      <c r="F55" s="4">
        <v>1</v>
      </c>
      <c r="G55" s="2" t="s">
        <v>6</v>
      </c>
      <c r="H55" s="4">
        <v>0</v>
      </c>
      <c r="I55" s="3" t="s">
        <v>17</v>
      </c>
      <c r="J55" s="3" t="s">
        <v>63</v>
      </c>
    </row>
    <row r="56" spans="1:10" x14ac:dyDescent="0.35">
      <c r="A56" s="2">
        <v>55</v>
      </c>
      <c r="B56" s="2" t="s">
        <v>112</v>
      </c>
      <c r="C56" s="2" t="s">
        <v>52</v>
      </c>
      <c r="D56" s="2" t="s">
        <v>48</v>
      </c>
      <c r="E56" s="3" t="s">
        <v>50</v>
      </c>
      <c r="F56" s="4">
        <v>0</v>
      </c>
      <c r="G56" s="2" t="s">
        <v>6</v>
      </c>
      <c r="H56" s="4">
        <v>2</v>
      </c>
      <c r="I56" s="3" t="s">
        <v>58</v>
      </c>
      <c r="J56" s="3" t="s">
        <v>60</v>
      </c>
    </row>
    <row r="57" spans="1:10" x14ac:dyDescent="0.35">
      <c r="A57" s="2">
        <v>56</v>
      </c>
      <c r="B57" s="2" t="s">
        <v>112</v>
      </c>
      <c r="C57" s="2" t="s">
        <v>52</v>
      </c>
      <c r="D57" s="2" t="s">
        <v>48</v>
      </c>
      <c r="E57" s="3" t="s">
        <v>59</v>
      </c>
      <c r="F57" s="4">
        <v>2</v>
      </c>
      <c r="G57" s="2" t="s">
        <v>6</v>
      </c>
      <c r="H57" s="4">
        <v>1</v>
      </c>
      <c r="I57" s="3" t="s">
        <v>49</v>
      </c>
      <c r="J57" s="3" t="s">
        <v>38</v>
      </c>
    </row>
    <row r="58" spans="1:10" x14ac:dyDescent="0.35">
      <c r="A58" s="2">
        <v>57</v>
      </c>
      <c r="B58" s="2" t="s">
        <v>112</v>
      </c>
      <c r="C58" s="2" t="s">
        <v>57</v>
      </c>
      <c r="D58" s="2" t="s">
        <v>53</v>
      </c>
      <c r="E58" s="3" t="s">
        <v>55</v>
      </c>
      <c r="F58" s="4">
        <v>1</v>
      </c>
      <c r="G58" s="2" t="s">
        <v>6</v>
      </c>
      <c r="H58" s="4">
        <v>1</v>
      </c>
      <c r="I58" s="3" t="s">
        <v>61</v>
      </c>
      <c r="J58" s="3" t="s">
        <v>56</v>
      </c>
    </row>
    <row r="59" spans="1:10" x14ac:dyDescent="0.35">
      <c r="A59" s="2">
        <v>58</v>
      </c>
      <c r="B59" s="2" t="s">
        <v>112</v>
      </c>
      <c r="C59" s="2" t="s">
        <v>57</v>
      </c>
      <c r="D59" s="2" t="s">
        <v>53</v>
      </c>
      <c r="E59" s="3" t="s">
        <v>62</v>
      </c>
      <c r="F59" s="4">
        <v>1</v>
      </c>
      <c r="G59" s="2" t="s">
        <v>6</v>
      </c>
      <c r="H59" s="4">
        <v>3</v>
      </c>
      <c r="I59" s="3" t="s">
        <v>54</v>
      </c>
      <c r="J59" s="3" t="s">
        <v>88</v>
      </c>
    </row>
    <row r="60" spans="1:10" x14ac:dyDescent="0.35">
      <c r="A60" s="2">
        <v>59</v>
      </c>
      <c r="B60" s="2" t="s">
        <v>112</v>
      </c>
      <c r="C60" s="2" t="s">
        <v>16</v>
      </c>
      <c r="D60" s="2" t="s">
        <v>26</v>
      </c>
      <c r="E60" s="3" t="s">
        <v>45</v>
      </c>
      <c r="F60" s="4">
        <v>3</v>
      </c>
      <c r="G60" s="2" t="s">
        <v>6</v>
      </c>
      <c r="H60" s="4">
        <v>2</v>
      </c>
      <c r="I60" s="3" t="s">
        <v>27</v>
      </c>
      <c r="J60" s="3" t="s">
        <v>29</v>
      </c>
    </row>
    <row r="61" spans="1:10" x14ac:dyDescent="0.35">
      <c r="A61" s="2">
        <v>60</v>
      </c>
      <c r="B61" s="2" t="s">
        <v>112</v>
      </c>
      <c r="C61" s="2" t="s">
        <v>16</v>
      </c>
      <c r="D61" s="2" t="s">
        <v>26</v>
      </c>
      <c r="E61" s="3" t="s">
        <v>28</v>
      </c>
      <c r="F61" s="4">
        <v>0</v>
      </c>
      <c r="G61" s="2" t="s">
        <v>6</v>
      </c>
      <c r="H61" s="4">
        <v>0</v>
      </c>
      <c r="I61" s="3" t="s">
        <v>44</v>
      </c>
      <c r="J61" s="3" t="s">
        <v>33</v>
      </c>
    </row>
    <row r="62" spans="1:10" x14ac:dyDescent="0.35">
      <c r="A62" s="2">
        <v>61</v>
      </c>
      <c r="B62" s="2" t="s">
        <v>113</v>
      </c>
      <c r="C62" s="2" t="s">
        <v>11</v>
      </c>
      <c r="D62" s="2" t="s">
        <v>80</v>
      </c>
      <c r="E62" s="3" t="s">
        <v>84</v>
      </c>
      <c r="F62" s="4">
        <v>1</v>
      </c>
      <c r="G62" s="2" t="s">
        <v>6</v>
      </c>
      <c r="H62" s="4">
        <v>4</v>
      </c>
      <c r="I62" s="3" t="s">
        <v>81</v>
      </c>
      <c r="J62" s="3" t="s">
        <v>41</v>
      </c>
    </row>
    <row r="63" spans="1:10" x14ac:dyDescent="0.35">
      <c r="A63" s="2">
        <v>62</v>
      </c>
      <c r="B63" s="2" t="s">
        <v>113</v>
      </c>
      <c r="C63" s="2" t="s">
        <v>11</v>
      </c>
      <c r="D63" s="2" t="s">
        <v>80</v>
      </c>
      <c r="E63" s="3" t="s">
        <v>82</v>
      </c>
      <c r="F63" s="4">
        <v>5</v>
      </c>
      <c r="G63" s="2" t="s">
        <v>6</v>
      </c>
      <c r="H63" s="4">
        <v>0</v>
      </c>
      <c r="I63" s="3" t="s">
        <v>83</v>
      </c>
      <c r="J63" s="3" t="s">
        <v>24</v>
      </c>
    </row>
    <row r="64" spans="1:10" x14ac:dyDescent="0.35">
      <c r="A64" s="2">
        <v>63</v>
      </c>
      <c r="B64" s="2" t="s">
        <v>114</v>
      </c>
      <c r="C64" s="2" t="s">
        <v>115</v>
      </c>
      <c r="D64" s="2" t="s">
        <v>70</v>
      </c>
      <c r="E64" s="3" t="s">
        <v>72</v>
      </c>
      <c r="F64" s="4">
        <v>1</v>
      </c>
      <c r="G64" s="2" t="s">
        <v>6</v>
      </c>
      <c r="H64" s="4">
        <v>1</v>
      </c>
      <c r="I64" s="3" t="s">
        <v>77</v>
      </c>
      <c r="J64" s="3" t="s">
        <v>73</v>
      </c>
    </row>
    <row r="65" spans="1:10" x14ac:dyDescent="0.35">
      <c r="A65" s="2">
        <v>64</v>
      </c>
      <c r="B65" s="2" t="s">
        <v>114</v>
      </c>
      <c r="C65" s="2" t="s">
        <v>115</v>
      </c>
      <c r="D65" s="2" t="s">
        <v>70</v>
      </c>
      <c r="E65" s="3" t="s">
        <v>78</v>
      </c>
      <c r="F65" s="4">
        <v>1</v>
      </c>
      <c r="G65" s="2" t="s">
        <v>6</v>
      </c>
      <c r="H65" s="4">
        <v>5</v>
      </c>
      <c r="I65" s="3" t="s">
        <v>71</v>
      </c>
      <c r="J65" s="3" t="s">
        <v>46</v>
      </c>
    </row>
    <row r="66" spans="1:10" x14ac:dyDescent="0.35">
      <c r="A66" s="2">
        <v>65</v>
      </c>
      <c r="B66" s="2" t="s">
        <v>113</v>
      </c>
      <c r="C66" s="2" t="s">
        <v>11</v>
      </c>
      <c r="D66" s="2" t="s">
        <v>66</v>
      </c>
      <c r="E66" s="3" t="s">
        <v>68</v>
      </c>
      <c r="F66" s="4">
        <v>0</v>
      </c>
      <c r="G66" s="2" t="s">
        <v>6</v>
      </c>
      <c r="H66" s="4">
        <v>0</v>
      </c>
      <c r="I66" s="3" t="s">
        <v>74</v>
      </c>
      <c r="J66" s="3" t="s">
        <v>51</v>
      </c>
    </row>
    <row r="67" spans="1:10" x14ac:dyDescent="0.35">
      <c r="A67" s="2">
        <v>66</v>
      </c>
      <c r="B67" s="2" t="s">
        <v>113</v>
      </c>
      <c r="C67" s="2" t="s">
        <v>11</v>
      </c>
      <c r="D67" s="2" t="s">
        <v>66</v>
      </c>
      <c r="E67" s="3" t="s">
        <v>75</v>
      </c>
      <c r="F67" s="4">
        <v>0</v>
      </c>
      <c r="G67" s="2" t="s">
        <v>6</v>
      </c>
      <c r="H67" s="4">
        <v>1</v>
      </c>
      <c r="I67" s="3" t="s">
        <v>67</v>
      </c>
      <c r="J67" s="3" t="s">
        <v>19</v>
      </c>
    </row>
    <row r="68" spans="1:10" x14ac:dyDescent="0.35">
      <c r="A68" s="2">
        <v>67</v>
      </c>
      <c r="B68" s="2" t="s">
        <v>114</v>
      </c>
      <c r="C68" s="2" t="s">
        <v>11</v>
      </c>
      <c r="D68" s="2" t="s">
        <v>95</v>
      </c>
      <c r="E68" s="3" t="s">
        <v>99</v>
      </c>
      <c r="F68" s="4">
        <v>0</v>
      </c>
      <c r="G68" s="2" t="s">
        <v>6</v>
      </c>
      <c r="H68" s="4">
        <v>2</v>
      </c>
      <c r="I68" s="3" t="s">
        <v>96</v>
      </c>
      <c r="J68" s="3" t="s">
        <v>38</v>
      </c>
    </row>
    <row r="69" spans="1:10" x14ac:dyDescent="0.35">
      <c r="A69" s="2">
        <v>68</v>
      </c>
      <c r="B69" s="2" t="s">
        <v>114</v>
      </c>
      <c r="C69" s="2" t="s">
        <v>11</v>
      </c>
      <c r="D69" s="2" t="s">
        <v>95</v>
      </c>
      <c r="E69" s="3" t="s">
        <v>97</v>
      </c>
      <c r="F69" s="4">
        <v>2</v>
      </c>
      <c r="G69" s="2" t="s">
        <v>6</v>
      </c>
      <c r="H69" s="4">
        <v>1</v>
      </c>
      <c r="I69" s="3" t="s">
        <v>98</v>
      </c>
      <c r="J69" s="3" t="s">
        <v>60</v>
      </c>
    </row>
    <row r="70" spans="1:10" x14ac:dyDescent="0.35">
      <c r="A70" s="2">
        <v>69</v>
      </c>
      <c r="B70" s="2" t="s">
        <v>114</v>
      </c>
      <c r="C70" s="2" t="s">
        <v>108</v>
      </c>
      <c r="D70" s="2" t="s">
        <v>85</v>
      </c>
      <c r="E70" s="3" t="s">
        <v>87</v>
      </c>
      <c r="F70" s="4">
        <v>3</v>
      </c>
      <c r="G70" s="2" t="s">
        <v>6</v>
      </c>
      <c r="H70" s="4">
        <v>3</v>
      </c>
      <c r="I70" s="3" t="s">
        <v>90</v>
      </c>
      <c r="J70" s="3" t="s">
        <v>88</v>
      </c>
    </row>
    <row r="71" spans="1:10" x14ac:dyDescent="0.35">
      <c r="A71" s="2">
        <v>70</v>
      </c>
      <c r="B71" s="2" t="s">
        <v>114</v>
      </c>
      <c r="C71" s="2" t="s">
        <v>108</v>
      </c>
      <c r="D71" s="2" t="s">
        <v>85</v>
      </c>
      <c r="E71" s="3" t="s">
        <v>91</v>
      </c>
      <c r="F71" s="4">
        <v>1</v>
      </c>
      <c r="G71" s="2" t="s">
        <v>6</v>
      </c>
      <c r="H71" s="4">
        <v>3</v>
      </c>
      <c r="I71" s="3" t="s">
        <v>86</v>
      </c>
      <c r="J71" s="3" t="s">
        <v>56</v>
      </c>
    </row>
    <row r="72" spans="1:10" x14ac:dyDescent="0.35">
      <c r="A72" s="2">
        <v>71</v>
      </c>
      <c r="B72" s="2" t="s">
        <v>114</v>
      </c>
      <c r="C72" s="2" t="s">
        <v>108</v>
      </c>
      <c r="D72" s="2" t="s">
        <v>92</v>
      </c>
      <c r="E72" s="3" t="s">
        <v>101</v>
      </c>
      <c r="F72" s="4">
        <v>0</v>
      </c>
      <c r="G72" s="2" t="s">
        <v>6</v>
      </c>
      <c r="H72" s="4">
        <v>0</v>
      </c>
      <c r="I72" s="3" t="s">
        <v>93</v>
      </c>
      <c r="J72" s="3" t="s">
        <v>76</v>
      </c>
    </row>
    <row r="73" spans="1:10" x14ac:dyDescent="0.35">
      <c r="A73" s="2">
        <v>72</v>
      </c>
      <c r="B73" s="2" t="s">
        <v>114</v>
      </c>
      <c r="C73" s="2" t="s">
        <v>108</v>
      </c>
      <c r="D73" s="2" t="s">
        <v>92</v>
      </c>
      <c r="E73" s="3" t="s">
        <v>94</v>
      </c>
      <c r="F73" s="4">
        <v>3</v>
      </c>
      <c r="G73" s="2" t="s">
        <v>6</v>
      </c>
      <c r="H73" s="4">
        <v>1</v>
      </c>
      <c r="I73" s="3" t="s">
        <v>100</v>
      </c>
      <c r="J73" s="3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workbookViewId="0">
      <pane ySplit="1" topLeftCell="A2" activePane="bottomLeft" state="frozen"/>
      <selection pane="bottomLeft" sqref="A1:J1"/>
    </sheetView>
  </sheetViews>
  <sheetFormatPr defaultRowHeight="14.5" x14ac:dyDescent="0.35"/>
  <cols>
    <col min="1" max="1" width="6" customWidth="1"/>
    <col min="2" max="2" width="25" customWidth="1"/>
    <col min="3" max="10" width="6" customWidth="1"/>
  </cols>
  <sheetData>
    <row r="1" spans="1:10" ht="15.5" x14ac:dyDescent="0.35">
      <c r="A1" s="29" t="s">
        <v>116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x14ac:dyDescent="0.35">
      <c r="A2" s="1" t="s">
        <v>117</v>
      </c>
      <c r="B2" s="1" t="s">
        <v>118</v>
      </c>
      <c r="C2" s="1" t="s">
        <v>85</v>
      </c>
      <c r="D2" s="1" t="s">
        <v>119</v>
      </c>
      <c r="E2" s="1" t="s">
        <v>48</v>
      </c>
      <c r="F2" s="1" t="s">
        <v>26</v>
      </c>
      <c r="G2" s="1" t="s">
        <v>120</v>
      </c>
      <c r="H2" s="1" t="s">
        <v>121</v>
      </c>
      <c r="I2" s="1" t="s">
        <v>122</v>
      </c>
      <c r="J2" s="1" t="s">
        <v>123</v>
      </c>
    </row>
    <row r="3" spans="1:10" x14ac:dyDescent="0.35">
      <c r="A3" s="2">
        <v>1</v>
      </c>
      <c r="B3" s="3" t="s">
        <v>13</v>
      </c>
      <c r="C3" s="2">
        <f>SUMPRODUCT(('Fase de Grupos'!$E$2:$E$73=$B3)*ISNUMBER('Fase de Grupos'!$F$2:$F$73)*ISNUMBER('Fase de Grupos'!$H$2:$H$73))+SUMPRODUCT(('Fase de Grupos'!$I$2:$I$73=$B3)*ISNUMBER('Fase de Grupos'!$F$2:$F$73)*ISNUMBER('Fase de Grupos'!$H$2:$H$73))</f>
        <v>3</v>
      </c>
      <c r="D3" s="2">
        <f>SUMPRODUCT(('Fase de Grupos'!$E$2:$E$73=$B3)*ISNUMBER('Fase de Grupos'!$F$2:$F$73)*ISNUMBER('Fase de Grupos'!$H$2:$H$73)*('Fase de Grupos'!$F$2:$F$73&gt;'Fase de Grupos'!$H$2:$H$73))+SUMPRODUCT(('Fase de Grupos'!$I$2:$I$73=$B3)*ISNUMBER('Fase de Grupos'!$F$2:$F$73)*ISNUMBER('Fase de Grupos'!$H$2:$H$73)*('Fase de Grupos'!$H$2:$H$73&gt;'Fase de Grupos'!$F$2:$F$73))</f>
        <v>3</v>
      </c>
      <c r="E3" s="2">
        <f>SUMPRODUCT(('Fase de Grupos'!$E$2:$E$73=$B3)*ISNUMBER('Fase de Grupos'!$F$2:$F$73)*ISNUMBER('Fase de Grupos'!$H$2:$H$73)*('Fase de Grupos'!$F$2:$F$73='Fase de Grupos'!$H$2:$H$73))+SUMPRODUCT(('Fase de Grupos'!$I$2:$I$73=$B3)*ISNUMBER('Fase de Grupos'!$F$2:$F$73)*ISNUMBER('Fase de Grupos'!$H$2:$H$73)*('Fase de Grupos'!$F$2:$F$73='Fase de Grupos'!$H$2:$H$73))</f>
        <v>0</v>
      </c>
      <c r="F3" s="2">
        <f>SUMPRODUCT(('Fase de Grupos'!$E$2:$E$73=$B3)*ISNUMBER('Fase de Grupos'!$F$2:$F$73)*ISNUMBER('Fase de Grupos'!$H$2:$H$73)*('Fase de Grupos'!$F$2:$F$73&lt;'Fase de Grupos'!$H$2:$H$73))+SUMPRODUCT(('Fase de Grupos'!$I$2:$I$73=$B3)*ISNUMBER('Fase de Grupos'!$F$2:$F$73)*ISNUMBER('Fase de Grupos'!$H$2:$H$73)*('Fase de Grupos'!$H$2:$H$73&lt;'Fase de Grupos'!$F$2:$F$73))</f>
        <v>0</v>
      </c>
      <c r="G3" s="2">
        <f>SUMPRODUCT(('Fase de Grupos'!$E$2:$E$73=$B3)*ISNUMBER('Fase de Grupos'!$F$2:$F$73)*ISNUMBER('Fase de Grupos'!$H$2:$H$73)*'Fase de Grupos'!$F$2:$F$73)+SUMPRODUCT(('Fase de Grupos'!$I$2:$I$73=$B3)*ISNUMBER('Fase de Grupos'!$F$2:$F$73)*ISNUMBER('Fase de Grupos'!$H$2:$H$73)*'Fase de Grupos'!$H$2:$H$73)</f>
        <v>6</v>
      </c>
      <c r="H3" s="2">
        <f>SUMPRODUCT(('Fase de Grupos'!$E$2:$E$73=$B3)*ISNUMBER('Fase de Grupos'!$F$2:$F$73)*ISNUMBER('Fase de Grupos'!$H$2:$H$73)*'Fase de Grupos'!$H$2:$H$73)+SUMPRODUCT(('Fase de Grupos'!$I$2:$I$73=$B3)*ISNUMBER('Fase de Grupos'!$F$2:$F$73)*ISNUMBER('Fase de Grupos'!$H$2:$H$73)*'Fase de Grupos'!$F$2:$F$73)</f>
        <v>0</v>
      </c>
      <c r="I3" s="2">
        <f>G3-H3</f>
        <v>6</v>
      </c>
      <c r="J3" s="2">
        <f>D3*3+E3</f>
        <v>9</v>
      </c>
    </row>
    <row r="4" spans="1:10" x14ac:dyDescent="0.35">
      <c r="A4" s="2">
        <v>2</v>
      </c>
      <c r="B4" s="3" t="s">
        <v>17</v>
      </c>
      <c r="C4" s="2">
        <f>SUMPRODUCT(('Fase de Grupos'!$E$2:$E$73=$B4)*ISNUMBER('Fase de Grupos'!$F$2:$F$73)*ISNUMBER('Fase de Grupos'!$H$2:$H$73))+SUMPRODUCT(('Fase de Grupos'!$I$2:$I$73=$B4)*ISNUMBER('Fase de Grupos'!$F$2:$F$73)*ISNUMBER('Fase de Grupos'!$H$2:$H$73))</f>
        <v>3</v>
      </c>
      <c r="D4" s="2">
        <f>SUMPRODUCT(('Fase de Grupos'!$E$2:$E$73=$B4)*ISNUMBER('Fase de Grupos'!$F$2:$F$73)*ISNUMBER('Fase de Grupos'!$H$2:$H$73)*('Fase de Grupos'!$F$2:$F$73&gt;'Fase de Grupos'!$H$2:$H$73))+SUMPRODUCT(('Fase de Grupos'!$I$2:$I$73=$B4)*ISNUMBER('Fase de Grupos'!$F$2:$F$73)*ISNUMBER('Fase de Grupos'!$H$2:$H$73)*('Fase de Grupos'!$H$2:$H$73&gt;'Fase de Grupos'!$F$2:$F$73))</f>
        <v>1</v>
      </c>
      <c r="E4" s="2">
        <f>SUMPRODUCT(('Fase de Grupos'!$E$2:$E$73=$B4)*ISNUMBER('Fase de Grupos'!$F$2:$F$73)*ISNUMBER('Fase de Grupos'!$H$2:$H$73)*('Fase de Grupos'!$F$2:$F$73='Fase de Grupos'!$H$2:$H$73))+SUMPRODUCT(('Fase de Grupos'!$I$2:$I$73=$B4)*ISNUMBER('Fase de Grupos'!$F$2:$F$73)*ISNUMBER('Fase de Grupos'!$H$2:$H$73)*('Fase de Grupos'!$F$2:$F$73='Fase de Grupos'!$H$2:$H$73))</f>
        <v>0</v>
      </c>
      <c r="F4" s="2">
        <f>SUMPRODUCT(('Fase de Grupos'!$E$2:$E$73=$B4)*ISNUMBER('Fase de Grupos'!$F$2:$F$73)*ISNUMBER('Fase de Grupos'!$H$2:$H$73)*('Fase de Grupos'!$F$2:$F$73&lt;'Fase de Grupos'!$H$2:$H$73))+SUMPRODUCT(('Fase de Grupos'!$I$2:$I$73=$B4)*ISNUMBER('Fase de Grupos'!$F$2:$F$73)*ISNUMBER('Fase de Grupos'!$H$2:$H$73)*('Fase de Grupos'!$H$2:$H$73&lt;'Fase de Grupos'!$F$2:$F$73))</f>
        <v>2</v>
      </c>
      <c r="G4" s="2">
        <f>SUMPRODUCT(('Fase de Grupos'!$E$2:$E$73=$B4)*ISNUMBER('Fase de Grupos'!$F$2:$F$73)*ISNUMBER('Fase de Grupos'!$H$2:$H$73)*'Fase de Grupos'!$F$2:$F$73)+SUMPRODUCT(('Fase de Grupos'!$I$2:$I$73=$B4)*ISNUMBER('Fase de Grupos'!$F$2:$F$73)*ISNUMBER('Fase de Grupos'!$H$2:$H$73)*'Fase de Grupos'!$H$2:$H$73)</f>
        <v>2</v>
      </c>
      <c r="H4" s="2">
        <f>SUMPRODUCT(('Fase de Grupos'!$E$2:$E$73=$B4)*ISNUMBER('Fase de Grupos'!$F$2:$F$73)*ISNUMBER('Fase de Grupos'!$H$2:$H$73)*'Fase de Grupos'!$H$2:$H$73)+SUMPRODUCT(('Fase de Grupos'!$I$2:$I$73=$B4)*ISNUMBER('Fase de Grupos'!$F$2:$F$73)*ISNUMBER('Fase de Grupos'!$H$2:$H$73)*'Fase de Grupos'!$F$2:$F$73)</f>
        <v>3</v>
      </c>
      <c r="I4" s="2">
        <f>G4-H4</f>
        <v>-1</v>
      </c>
      <c r="J4" s="2">
        <f>D4*3+E4</f>
        <v>3</v>
      </c>
    </row>
    <row r="5" spans="1:10" x14ac:dyDescent="0.35">
      <c r="A5" s="2">
        <v>3</v>
      </c>
      <c r="B5" s="3" t="s">
        <v>14</v>
      </c>
      <c r="C5" s="2">
        <f>SUMPRODUCT(('Fase de Grupos'!$E$2:$E$73=$B5)*ISNUMBER('Fase de Grupos'!$F$2:$F$73)*ISNUMBER('Fase de Grupos'!$H$2:$H$73))+SUMPRODUCT(('Fase de Grupos'!$I$2:$I$73=$B5)*ISNUMBER('Fase de Grupos'!$F$2:$F$73)*ISNUMBER('Fase de Grupos'!$H$2:$H$73))</f>
        <v>3</v>
      </c>
      <c r="D5" s="2">
        <f>SUMPRODUCT(('Fase de Grupos'!$E$2:$E$73=$B5)*ISNUMBER('Fase de Grupos'!$F$2:$F$73)*ISNUMBER('Fase de Grupos'!$H$2:$H$73)*('Fase de Grupos'!$F$2:$F$73&gt;'Fase de Grupos'!$H$2:$H$73))+SUMPRODUCT(('Fase de Grupos'!$I$2:$I$73=$B5)*ISNUMBER('Fase de Grupos'!$F$2:$F$73)*ISNUMBER('Fase de Grupos'!$H$2:$H$73)*('Fase de Grupos'!$H$2:$H$73&gt;'Fase de Grupos'!$F$2:$F$73))</f>
        <v>1</v>
      </c>
      <c r="E5" s="2">
        <f>SUMPRODUCT(('Fase de Grupos'!$E$2:$E$73=$B5)*ISNUMBER('Fase de Grupos'!$F$2:$F$73)*ISNUMBER('Fase de Grupos'!$H$2:$H$73)*('Fase de Grupos'!$F$2:$F$73='Fase de Grupos'!$H$2:$H$73))+SUMPRODUCT(('Fase de Grupos'!$I$2:$I$73=$B5)*ISNUMBER('Fase de Grupos'!$F$2:$F$73)*ISNUMBER('Fase de Grupos'!$H$2:$H$73)*('Fase de Grupos'!$F$2:$F$73='Fase de Grupos'!$H$2:$H$73))</f>
        <v>1</v>
      </c>
      <c r="F5" s="2">
        <f>SUMPRODUCT(('Fase de Grupos'!$E$2:$E$73=$B5)*ISNUMBER('Fase de Grupos'!$F$2:$F$73)*ISNUMBER('Fase de Grupos'!$H$2:$H$73)*('Fase de Grupos'!$F$2:$F$73&lt;'Fase de Grupos'!$H$2:$H$73))+SUMPRODUCT(('Fase de Grupos'!$I$2:$I$73=$B5)*ISNUMBER('Fase de Grupos'!$F$2:$F$73)*ISNUMBER('Fase de Grupos'!$H$2:$H$73)*('Fase de Grupos'!$H$2:$H$73&lt;'Fase de Grupos'!$F$2:$F$73))</f>
        <v>1</v>
      </c>
      <c r="G5" s="2">
        <f>SUMPRODUCT(('Fase de Grupos'!$E$2:$E$73=$B5)*ISNUMBER('Fase de Grupos'!$F$2:$F$73)*ISNUMBER('Fase de Grupos'!$H$2:$H$73)*'Fase de Grupos'!$F$2:$F$73)+SUMPRODUCT(('Fase de Grupos'!$I$2:$I$73=$B5)*ISNUMBER('Fase de Grupos'!$F$2:$F$73)*ISNUMBER('Fase de Grupos'!$H$2:$H$73)*'Fase de Grupos'!$H$2:$H$73)</f>
        <v>2</v>
      </c>
      <c r="H5" s="2">
        <f>SUMPRODUCT(('Fase de Grupos'!$E$2:$E$73=$B5)*ISNUMBER('Fase de Grupos'!$F$2:$F$73)*ISNUMBER('Fase de Grupos'!$H$2:$H$73)*'Fase de Grupos'!$H$2:$H$73)+SUMPRODUCT(('Fase de Grupos'!$I$2:$I$73=$B5)*ISNUMBER('Fase de Grupos'!$F$2:$F$73)*ISNUMBER('Fase de Grupos'!$H$2:$H$73)*'Fase de Grupos'!$F$2:$F$73)</f>
        <v>3</v>
      </c>
      <c r="I5" s="2">
        <f>G5-H5</f>
        <v>-1</v>
      </c>
      <c r="J5" s="2">
        <f>D5*3+E5</f>
        <v>4</v>
      </c>
    </row>
    <row r="6" spans="1:10" x14ac:dyDescent="0.35">
      <c r="A6" s="2">
        <v>4</v>
      </c>
      <c r="B6" s="3" t="s">
        <v>18</v>
      </c>
      <c r="C6" s="2">
        <f>SUMPRODUCT(('Fase de Grupos'!$E$2:$E$73=$B6)*ISNUMBER('Fase de Grupos'!$F$2:$F$73)*ISNUMBER('Fase de Grupos'!$H$2:$H$73))+SUMPRODUCT(('Fase de Grupos'!$I$2:$I$73=$B6)*ISNUMBER('Fase de Grupos'!$F$2:$F$73)*ISNUMBER('Fase de Grupos'!$H$2:$H$73))</f>
        <v>3</v>
      </c>
      <c r="D6" s="2">
        <f>SUMPRODUCT(('Fase de Grupos'!$E$2:$E$73=$B6)*ISNUMBER('Fase de Grupos'!$F$2:$F$73)*ISNUMBER('Fase de Grupos'!$H$2:$H$73)*('Fase de Grupos'!$F$2:$F$73&gt;'Fase de Grupos'!$H$2:$H$73))+SUMPRODUCT(('Fase de Grupos'!$I$2:$I$73=$B6)*ISNUMBER('Fase de Grupos'!$F$2:$F$73)*ISNUMBER('Fase de Grupos'!$H$2:$H$73)*('Fase de Grupos'!$H$2:$H$73&gt;'Fase de Grupos'!$F$2:$F$73))</f>
        <v>0</v>
      </c>
      <c r="E6" s="2">
        <f>SUMPRODUCT(('Fase de Grupos'!$E$2:$E$73=$B6)*ISNUMBER('Fase de Grupos'!$F$2:$F$73)*ISNUMBER('Fase de Grupos'!$H$2:$H$73)*('Fase de Grupos'!$F$2:$F$73='Fase de Grupos'!$H$2:$H$73))+SUMPRODUCT(('Fase de Grupos'!$I$2:$I$73=$B6)*ISNUMBER('Fase de Grupos'!$F$2:$F$73)*ISNUMBER('Fase de Grupos'!$H$2:$H$73)*('Fase de Grupos'!$F$2:$F$73='Fase de Grupos'!$H$2:$H$73))</f>
        <v>1</v>
      </c>
      <c r="F6" s="2">
        <f>SUMPRODUCT(('Fase de Grupos'!$E$2:$E$73=$B6)*ISNUMBER('Fase de Grupos'!$F$2:$F$73)*ISNUMBER('Fase de Grupos'!$H$2:$H$73)*('Fase de Grupos'!$F$2:$F$73&lt;'Fase de Grupos'!$H$2:$H$73))+SUMPRODUCT(('Fase de Grupos'!$I$2:$I$73=$B6)*ISNUMBER('Fase de Grupos'!$F$2:$F$73)*ISNUMBER('Fase de Grupos'!$H$2:$H$73)*('Fase de Grupos'!$H$2:$H$73&lt;'Fase de Grupos'!$F$2:$F$73))</f>
        <v>2</v>
      </c>
      <c r="G6" s="2">
        <f>SUMPRODUCT(('Fase de Grupos'!$E$2:$E$73=$B6)*ISNUMBER('Fase de Grupos'!$F$2:$F$73)*ISNUMBER('Fase de Grupos'!$H$2:$H$73)*'Fase de Grupos'!$F$2:$F$73)+SUMPRODUCT(('Fase de Grupos'!$I$2:$I$73=$B6)*ISNUMBER('Fase de Grupos'!$F$2:$F$73)*ISNUMBER('Fase de Grupos'!$H$2:$H$73)*'Fase de Grupos'!$H$2:$H$73)</f>
        <v>2</v>
      </c>
      <c r="H6" s="2">
        <f>SUMPRODUCT(('Fase de Grupos'!$E$2:$E$73=$B6)*ISNUMBER('Fase de Grupos'!$F$2:$F$73)*ISNUMBER('Fase de Grupos'!$H$2:$H$73)*'Fase de Grupos'!$H$2:$H$73)+SUMPRODUCT(('Fase de Grupos'!$I$2:$I$73=$B6)*ISNUMBER('Fase de Grupos'!$F$2:$F$73)*ISNUMBER('Fase de Grupos'!$H$2:$H$73)*'Fase de Grupos'!$F$2:$F$73)</f>
        <v>6</v>
      </c>
      <c r="I6" s="2">
        <f>G6-H6</f>
        <v>-4</v>
      </c>
      <c r="J6" s="2">
        <f>D6*3+E6</f>
        <v>1</v>
      </c>
    </row>
    <row r="8" spans="1:10" ht="15.5" x14ac:dyDescent="0.35">
      <c r="A8" s="29" t="s">
        <v>124</v>
      </c>
      <c r="B8" s="30"/>
      <c r="C8" s="30"/>
      <c r="D8" s="30"/>
      <c r="E8" s="30"/>
      <c r="F8" s="30"/>
      <c r="G8" s="30"/>
      <c r="H8" s="30"/>
      <c r="I8" s="30"/>
      <c r="J8" s="31"/>
    </row>
    <row r="9" spans="1:10" x14ac:dyDescent="0.35">
      <c r="A9" s="1" t="s">
        <v>117</v>
      </c>
      <c r="B9" s="1" t="s">
        <v>118</v>
      </c>
      <c r="C9" s="1" t="s">
        <v>85</v>
      </c>
      <c r="D9" s="1" t="s">
        <v>119</v>
      </c>
      <c r="E9" s="1" t="s">
        <v>48</v>
      </c>
      <c r="F9" s="1" t="s">
        <v>26</v>
      </c>
      <c r="G9" s="1" t="s">
        <v>120</v>
      </c>
      <c r="H9" s="1" t="s">
        <v>121</v>
      </c>
      <c r="I9" s="1" t="s">
        <v>122</v>
      </c>
      <c r="J9" s="1" t="s">
        <v>123</v>
      </c>
    </row>
    <row r="10" spans="1:10" x14ac:dyDescent="0.35">
      <c r="A10" s="2">
        <v>1</v>
      </c>
      <c r="B10" s="3" t="s">
        <v>22</v>
      </c>
      <c r="C10" s="2">
        <f>SUMPRODUCT(('Fase de Grupos'!$E$2:$E$73=$B10)*ISNUMBER('Fase de Grupos'!$F$2:$F$73)*ISNUMBER('Fase de Grupos'!$H$2:$H$73))+SUMPRODUCT(('Fase de Grupos'!$I$2:$I$73=$B10)*ISNUMBER('Fase de Grupos'!$F$2:$F$73)*ISNUMBER('Fase de Grupos'!$H$2:$H$73))</f>
        <v>3</v>
      </c>
      <c r="D10" s="2">
        <f>SUMPRODUCT(('Fase de Grupos'!$E$2:$E$73=$B10)*ISNUMBER('Fase de Grupos'!$F$2:$F$73)*ISNUMBER('Fase de Grupos'!$H$2:$H$73)*('Fase de Grupos'!$F$2:$F$73&gt;'Fase de Grupos'!$H$2:$H$73))+SUMPRODUCT(('Fase de Grupos'!$I$2:$I$73=$B10)*ISNUMBER('Fase de Grupos'!$F$2:$F$73)*ISNUMBER('Fase de Grupos'!$H$2:$H$73)*('Fase de Grupos'!$H$2:$H$73&gt;'Fase de Grupos'!$F$2:$F$73))</f>
        <v>1</v>
      </c>
      <c r="E10" s="2">
        <f>SUMPRODUCT(('Fase de Grupos'!$E$2:$E$73=$B10)*ISNUMBER('Fase de Grupos'!$F$2:$F$73)*ISNUMBER('Fase de Grupos'!$H$2:$H$73)*('Fase de Grupos'!$F$2:$F$73='Fase de Grupos'!$H$2:$H$73))+SUMPRODUCT(('Fase de Grupos'!$I$2:$I$73=$B10)*ISNUMBER('Fase de Grupos'!$F$2:$F$73)*ISNUMBER('Fase de Grupos'!$H$2:$H$73)*('Fase de Grupos'!$F$2:$F$73='Fase de Grupos'!$H$2:$H$73))</f>
        <v>1</v>
      </c>
      <c r="F10" s="2">
        <f>SUMPRODUCT(('Fase de Grupos'!$E$2:$E$73=$B10)*ISNUMBER('Fase de Grupos'!$F$2:$F$73)*ISNUMBER('Fase de Grupos'!$H$2:$H$73)*('Fase de Grupos'!$F$2:$F$73&lt;'Fase de Grupos'!$H$2:$H$73))+SUMPRODUCT(('Fase de Grupos'!$I$2:$I$73=$B10)*ISNUMBER('Fase de Grupos'!$F$2:$F$73)*ISNUMBER('Fase de Grupos'!$H$2:$H$73)*('Fase de Grupos'!$H$2:$H$73&lt;'Fase de Grupos'!$F$2:$F$73))</f>
        <v>1</v>
      </c>
      <c r="G10" s="2">
        <f>SUMPRODUCT(('Fase de Grupos'!$E$2:$E$73=$B10)*ISNUMBER('Fase de Grupos'!$F$2:$F$73)*ISNUMBER('Fase de Grupos'!$H$2:$H$73)*'Fase de Grupos'!$F$2:$F$73)+SUMPRODUCT(('Fase de Grupos'!$I$2:$I$73=$B10)*ISNUMBER('Fase de Grupos'!$F$2:$F$73)*ISNUMBER('Fase de Grupos'!$H$2:$H$73)*'Fase de Grupos'!$H$2:$H$73)</f>
        <v>8</v>
      </c>
      <c r="H10" s="2">
        <f>SUMPRODUCT(('Fase de Grupos'!$E$2:$E$73=$B10)*ISNUMBER('Fase de Grupos'!$F$2:$F$73)*ISNUMBER('Fase de Grupos'!$H$2:$H$73)*'Fase de Grupos'!$H$2:$H$73)+SUMPRODUCT(('Fase de Grupos'!$I$2:$I$73=$B10)*ISNUMBER('Fase de Grupos'!$F$2:$F$73)*ISNUMBER('Fase de Grupos'!$H$2:$H$73)*'Fase de Grupos'!$F$2:$F$73)</f>
        <v>3</v>
      </c>
      <c r="I10" s="2">
        <f>G10-H10</f>
        <v>5</v>
      </c>
      <c r="J10" s="2">
        <f>D10*3+E10</f>
        <v>4</v>
      </c>
    </row>
    <row r="11" spans="1:10" x14ac:dyDescent="0.35">
      <c r="A11" s="2">
        <v>2</v>
      </c>
      <c r="B11" s="3" t="s">
        <v>32</v>
      </c>
      <c r="C11" s="2">
        <f>SUMPRODUCT(('Fase de Grupos'!$E$2:$E$73=$B11)*ISNUMBER('Fase de Grupos'!$F$2:$F$73)*ISNUMBER('Fase de Grupos'!$H$2:$H$73))+SUMPRODUCT(('Fase de Grupos'!$I$2:$I$73=$B11)*ISNUMBER('Fase de Grupos'!$F$2:$F$73)*ISNUMBER('Fase de Grupos'!$H$2:$H$73))</f>
        <v>3</v>
      </c>
      <c r="D11" s="2">
        <f>SUMPRODUCT(('Fase de Grupos'!$E$2:$E$73=$B11)*ISNUMBER('Fase de Grupos'!$F$2:$F$73)*ISNUMBER('Fase de Grupos'!$H$2:$H$73)*('Fase de Grupos'!$F$2:$F$73&gt;'Fase de Grupos'!$H$2:$H$73))+SUMPRODUCT(('Fase de Grupos'!$I$2:$I$73=$B11)*ISNUMBER('Fase de Grupos'!$F$2:$F$73)*ISNUMBER('Fase de Grupos'!$H$2:$H$73)*('Fase de Grupos'!$H$2:$H$73&gt;'Fase de Grupos'!$F$2:$F$73))</f>
        <v>2</v>
      </c>
      <c r="E11" s="2">
        <f>SUMPRODUCT(('Fase de Grupos'!$E$2:$E$73=$B11)*ISNUMBER('Fase de Grupos'!$F$2:$F$73)*ISNUMBER('Fase de Grupos'!$H$2:$H$73)*('Fase de Grupos'!$F$2:$F$73='Fase de Grupos'!$H$2:$H$73))+SUMPRODUCT(('Fase de Grupos'!$I$2:$I$73=$B11)*ISNUMBER('Fase de Grupos'!$F$2:$F$73)*ISNUMBER('Fase de Grupos'!$H$2:$H$73)*('Fase de Grupos'!$F$2:$F$73='Fase de Grupos'!$H$2:$H$73))</f>
        <v>1</v>
      </c>
      <c r="F11" s="2">
        <f>SUMPRODUCT(('Fase de Grupos'!$E$2:$E$73=$B11)*ISNUMBER('Fase de Grupos'!$F$2:$F$73)*ISNUMBER('Fase de Grupos'!$H$2:$H$73)*('Fase de Grupos'!$F$2:$F$73&lt;'Fase de Grupos'!$H$2:$H$73))+SUMPRODUCT(('Fase de Grupos'!$I$2:$I$73=$B11)*ISNUMBER('Fase de Grupos'!$F$2:$F$73)*ISNUMBER('Fase de Grupos'!$H$2:$H$73)*('Fase de Grupos'!$H$2:$H$73&lt;'Fase de Grupos'!$F$2:$F$73))</f>
        <v>0</v>
      </c>
      <c r="G11" s="2">
        <f>SUMPRODUCT(('Fase de Grupos'!$E$2:$E$73=$B11)*ISNUMBER('Fase de Grupos'!$F$2:$F$73)*ISNUMBER('Fase de Grupos'!$H$2:$H$73)*'Fase de Grupos'!$F$2:$F$73)+SUMPRODUCT(('Fase de Grupos'!$I$2:$I$73=$B11)*ISNUMBER('Fase de Grupos'!$F$2:$F$73)*ISNUMBER('Fase de Grupos'!$H$2:$H$73)*'Fase de Grupos'!$H$2:$H$73)</f>
        <v>7</v>
      </c>
      <c r="H11" s="2">
        <f>SUMPRODUCT(('Fase de Grupos'!$E$2:$E$73=$B11)*ISNUMBER('Fase de Grupos'!$F$2:$F$73)*ISNUMBER('Fase de Grupos'!$H$2:$H$73)*'Fase de Grupos'!$H$2:$H$73)+SUMPRODUCT(('Fase de Grupos'!$I$2:$I$73=$B11)*ISNUMBER('Fase de Grupos'!$F$2:$F$73)*ISNUMBER('Fase de Grupos'!$H$2:$H$73)*'Fase de Grupos'!$F$2:$F$73)</f>
        <v>3</v>
      </c>
      <c r="I11" s="2">
        <f>G11-H11</f>
        <v>4</v>
      </c>
      <c r="J11" s="2">
        <f>D11*3+E11</f>
        <v>7</v>
      </c>
    </row>
    <row r="12" spans="1:10" x14ac:dyDescent="0.35">
      <c r="A12" s="2">
        <v>3</v>
      </c>
      <c r="B12" s="3" t="s">
        <v>31</v>
      </c>
      <c r="C12" s="2">
        <f>SUMPRODUCT(('Fase de Grupos'!$E$2:$E$73=$B12)*ISNUMBER('Fase de Grupos'!$F$2:$F$73)*ISNUMBER('Fase de Grupos'!$H$2:$H$73))+SUMPRODUCT(('Fase de Grupos'!$I$2:$I$73=$B12)*ISNUMBER('Fase de Grupos'!$F$2:$F$73)*ISNUMBER('Fase de Grupos'!$H$2:$H$73))</f>
        <v>3</v>
      </c>
      <c r="D12" s="2">
        <f>SUMPRODUCT(('Fase de Grupos'!$E$2:$E$73=$B12)*ISNUMBER('Fase de Grupos'!$F$2:$F$73)*ISNUMBER('Fase de Grupos'!$H$2:$H$73)*('Fase de Grupos'!$F$2:$F$73&gt;'Fase de Grupos'!$H$2:$H$73))+SUMPRODUCT(('Fase de Grupos'!$I$2:$I$73=$B12)*ISNUMBER('Fase de Grupos'!$F$2:$F$73)*ISNUMBER('Fase de Grupos'!$H$2:$H$73)*('Fase de Grupos'!$H$2:$H$73&gt;'Fase de Grupos'!$F$2:$F$73))</f>
        <v>0</v>
      </c>
      <c r="E12" s="2">
        <f>SUMPRODUCT(('Fase de Grupos'!$E$2:$E$73=$B12)*ISNUMBER('Fase de Grupos'!$F$2:$F$73)*ISNUMBER('Fase de Grupos'!$H$2:$H$73)*('Fase de Grupos'!$F$2:$F$73='Fase de Grupos'!$H$2:$H$73))+SUMPRODUCT(('Fase de Grupos'!$I$2:$I$73=$B12)*ISNUMBER('Fase de Grupos'!$F$2:$F$73)*ISNUMBER('Fase de Grupos'!$H$2:$H$73)*('Fase de Grupos'!$F$2:$F$73='Fase de Grupos'!$H$2:$H$73))</f>
        <v>1</v>
      </c>
      <c r="F12" s="2">
        <f>SUMPRODUCT(('Fase de Grupos'!$E$2:$E$73=$B12)*ISNUMBER('Fase de Grupos'!$F$2:$F$73)*ISNUMBER('Fase de Grupos'!$H$2:$H$73)*('Fase de Grupos'!$F$2:$F$73&lt;'Fase de Grupos'!$H$2:$H$73))+SUMPRODUCT(('Fase de Grupos'!$I$2:$I$73=$B12)*ISNUMBER('Fase de Grupos'!$F$2:$F$73)*ISNUMBER('Fase de Grupos'!$H$2:$H$73)*('Fase de Grupos'!$H$2:$H$73&lt;'Fase de Grupos'!$F$2:$F$73))</f>
        <v>2</v>
      </c>
      <c r="G12" s="2">
        <f>SUMPRODUCT(('Fase de Grupos'!$E$2:$E$73=$B12)*ISNUMBER('Fase de Grupos'!$F$2:$F$73)*ISNUMBER('Fase de Grupos'!$H$2:$H$73)*'Fase de Grupos'!$F$2:$F$73)+SUMPRODUCT(('Fase de Grupos'!$I$2:$I$73=$B12)*ISNUMBER('Fase de Grupos'!$F$2:$F$73)*ISNUMBER('Fase de Grupos'!$H$2:$H$73)*'Fase de Grupos'!$H$2:$H$73)</f>
        <v>2</v>
      </c>
      <c r="H12" s="2">
        <f>SUMPRODUCT(('Fase de Grupos'!$E$2:$E$73=$B12)*ISNUMBER('Fase de Grupos'!$F$2:$F$73)*ISNUMBER('Fase de Grupos'!$H$2:$H$73)*'Fase de Grupos'!$H$2:$H$73)+SUMPRODUCT(('Fase de Grupos'!$I$2:$I$73=$B12)*ISNUMBER('Fase de Grupos'!$F$2:$F$73)*ISNUMBER('Fase de Grupos'!$H$2:$H$73)*'Fase de Grupos'!$F$2:$F$73)</f>
        <v>10</v>
      </c>
      <c r="I12" s="2">
        <f>G12-H12</f>
        <v>-8</v>
      </c>
      <c r="J12" s="2">
        <f>D12*3+E12</f>
        <v>1</v>
      </c>
    </row>
    <row r="13" spans="1:10" x14ac:dyDescent="0.35">
      <c r="A13" s="2">
        <v>4</v>
      </c>
      <c r="B13" s="3" t="s">
        <v>23</v>
      </c>
      <c r="C13" s="2">
        <f>SUMPRODUCT(('Fase de Grupos'!$E$2:$E$73=$B13)*ISNUMBER('Fase de Grupos'!$F$2:$F$73)*ISNUMBER('Fase de Grupos'!$H$2:$H$73))+SUMPRODUCT(('Fase de Grupos'!$I$2:$I$73=$B13)*ISNUMBER('Fase de Grupos'!$F$2:$F$73)*ISNUMBER('Fase de Grupos'!$H$2:$H$73))</f>
        <v>3</v>
      </c>
      <c r="D13" s="2">
        <f>SUMPRODUCT(('Fase de Grupos'!$E$2:$E$73=$B13)*ISNUMBER('Fase de Grupos'!$F$2:$F$73)*ISNUMBER('Fase de Grupos'!$H$2:$H$73)*('Fase de Grupos'!$F$2:$F$73&gt;'Fase de Grupos'!$H$2:$H$73))+SUMPRODUCT(('Fase de Grupos'!$I$2:$I$73=$B13)*ISNUMBER('Fase de Grupos'!$F$2:$F$73)*ISNUMBER('Fase de Grupos'!$H$2:$H$73)*('Fase de Grupos'!$H$2:$H$73&gt;'Fase de Grupos'!$F$2:$F$73))</f>
        <v>1</v>
      </c>
      <c r="E13" s="2">
        <f>SUMPRODUCT(('Fase de Grupos'!$E$2:$E$73=$B13)*ISNUMBER('Fase de Grupos'!$F$2:$F$73)*ISNUMBER('Fase de Grupos'!$H$2:$H$73)*('Fase de Grupos'!$F$2:$F$73='Fase de Grupos'!$H$2:$H$73))+SUMPRODUCT(('Fase de Grupos'!$I$2:$I$73=$B13)*ISNUMBER('Fase de Grupos'!$F$2:$F$73)*ISNUMBER('Fase de Grupos'!$H$2:$H$73)*('Fase de Grupos'!$F$2:$F$73='Fase de Grupos'!$H$2:$H$73))</f>
        <v>1</v>
      </c>
      <c r="F13" s="2">
        <f>SUMPRODUCT(('Fase de Grupos'!$E$2:$E$73=$B13)*ISNUMBER('Fase de Grupos'!$F$2:$F$73)*ISNUMBER('Fase de Grupos'!$H$2:$H$73)*('Fase de Grupos'!$F$2:$F$73&lt;'Fase de Grupos'!$H$2:$H$73))+SUMPRODUCT(('Fase de Grupos'!$I$2:$I$73=$B13)*ISNUMBER('Fase de Grupos'!$F$2:$F$73)*ISNUMBER('Fase de Grupos'!$H$2:$H$73)*('Fase de Grupos'!$H$2:$H$73&lt;'Fase de Grupos'!$F$2:$F$73))</f>
        <v>1</v>
      </c>
      <c r="G13" s="2">
        <f>SUMPRODUCT(('Fase de Grupos'!$E$2:$E$73=$B13)*ISNUMBER('Fase de Grupos'!$F$2:$F$73)*ISNUMBER('Fase de Grupos'!$H$2:$H$73)*'Fase de Grupos'!$F$2:$F$73)+SUMPRODUCT(('Fase de Grupos'!$I$2:$I$73=$B13)*ISNUMBER('Fase de Grupos'!$F$2:$F$73)*ISNUMBER('Fase de Grupos'!$H$2:$H$73)*'Fase de Grupos'!$H$2:$H$73)</f>
        <v>5</v>
      </c>
      <c r="H13" s="2">
        <f>SUMPRODUCT(('Fase de Grupos'!$E$2:$E$73=$B13)*ISNUMBER('Fase de Grupos'!$F$2:$F$73)*ISNUMBER('Fase de Grupos'!$H$2:$H$73)*'Fase de Grupos'!$H$2:$H$73)+SUMPRODUCT(('Fase de Grupos'!$I$2:$I$73=$B13)*ISNUMBER('Fase de Grupos'!$F$2:$F$73)*ISNUMBER('Fase de Grupos'!$H$2:$H$73)*'Fase de Grupos'!$F$2:$F$73)</f>
        <v>6</v>
      </c>
      <c r="I13" s="2">
        <f>G13-H13</f>
        <v>-1</v>
      </c>
      <c r="J13" s="2">
        <f>D13*3+E13</f>
        <v>4</v>
      </c>
    </row>
    <row r="15" spans="1:10" ht="15.5" x14ac:dyDescent="0.35">
      <c r="A15" s="29" t="s">
        <v>125</v>
      </c>
      <c r="B15" s="30"/>
      <c r="C15" s="30"/>
      <c r="D15" s="30"/>
      <c r="E15" s="30"/>
      <c r="F15" s="30"/>
      <c r="G15" s="30"/>
      <c r="H15" s="30"/>
      <c r="I15" s="30"/>
      <c r="J15" s="31"/>
    </row>
    <row r="16" spans="1:10" x14ac:dyDescent="0.35">
      <c r="A16" s="1" t="s">
        <v>117</v>
      </c>
      <c r="B16" s="1" t="s">
        <v>118</v>
      </c>
      <c r="C16" s="1" t="s">
        <v>85</v>
      </c>
      <c r="D16" s="1" t="s">
        <v>119</v>
      </c>
      <c r="E16" s="1" t="s">
        <v>48</v>
      </c>
      <c r="F16" s="1" t="s">
        <v>26</v>
      </c>
      <c r="G16" s="1" t="s">
        <v>120</v>
      </c>
      <c r="H16" s="1" t="s">
        <v>121</v>
      </c>
      <c r="I16" s="1" t="s">
        <v>122</v>
      </c>
      <c r="J16" s="1" t="s">
        <v>123</v>
      </c>
    </row>
    <row r="17" spans="1:10" x14ac:dyDescent="0.35">
      <c r="A17" s="2">
        <v>1</v>
      </c>
      <c r="B17" s="3" t="s">
        <v>36</v>
      </c>
      <c r="C17" s="2">
        <f>SUMPRODUCT(('Fase de Grupos'!$E$2:$E$73=$B17)*ISNUMBER('Fase de Grupos'!$F$2:$F$73)*ISNUMBER('Fase de Grupos'!$H$2:$H$73))+SUMPRODUCT(('Fase de Grupos'!$I$2:$I$73=$B17)*ISNUMBER('Fase de Grupos'!$F$2:$F$73)*ISNUMBER('Fase de Grupos'!$H$2:$H$73))</f>
        <v>3</v>
      </c>
      <c r="D17" s="2">
        <f>SUMPRODUCT(('Fase de Grupos'!$E$2:$E$73=$B17)*ISNUMBER('Fase de Grupos'!$F$2:$F$73)*ISNUMBER('Fase de Grupos'!$H$2:$H$73)*('Fase de Grupos'!$F$2:$F$73&gt;'Fase de Grupos'!$H$2:$H$73))+SUMPRODUCT(('Fase de Grupos'!$I$2:$I$73=$B17)*ISNUMBER('Fase de Grupos'!$F$2:$F$73)*ISNUMBER('Fase de Grupos'!$H$2:$H$73)*('Fase de Grupos'!$H$2:$H$73&gt;'Fase de Grupos'!$F$2:$F$73))</f>
        <v>2</v>
      </c>
      <c r="E17" s="2">
        <f>SUMPRODUCT(('Fase de Grupos'!$E$2:$E$73=$B17)*ISNUMBER('Fase de Grupos'!$F$2:$F$73)*ISNUMBER('Fase de Grupos'!$H$2:$H$73)*('Fase de Grupos'!$F$2:$F$73='Fase de Grupos'!$H$2:$H$73))+SUMPRODUCT(('Fase de Grupos'!$I$2:$I$73=$B17)*ISNUMBER('Fase de Grupos'!$F$2:$F$73)*ISNUMBER('Fase de Grupos'!$H$2:$H$73)*('Fase de Grupos'!$F$2:$F$73='Fase de Grupos'!$H$2:$H$73))</f>
        <v>1</v>
      </c>
      <c r="F17" s="2">
        <f>SUMPRODUCT(('Fase de Grupos'!$E$2:$E$73=$B17)*ISNUMBER('Fase de Grupos'!$F$2:$F$73)*ISNUMBER('Fase de Grupos'!$H$2:$H$73)*('Fase de Grupos'!$F$2:$F$73&lt;'Fase de Grupos'!$H$2:$H$73))+SUMPRODUCT(('Fase de Grupos'!$I$2:$I$73=$B17)*ISNUMBER('Fase de Grupos'!$F$2:$F$73)*ISNUMBER('Fase de Grupos'!$H$2:$H$73)*('Fase de Grupos'!$H$2:$H$73&lt;'Fase de Grupos'!$F$2:$F$73))</f>
        <v>0</v>
      </c>
      <c r="G17" s="2">
        <f>SUMPRODUCT(('Fase de Grupos'!$E$2:$E$73=$B17)*ISNUMBER('Fase de Grupos'!$F$2:$F$73)*ISNUMBER('Fase de Grupos'!$H$2:$H$73)*'Fase de Grupos'!$F$2:$F$73)+SUMPRODUCT(('Fase de Grupos'!$I$2:$I$73=$B17)*ISNUMBER('Fase de Grupos'!$F$2:$F$73)*ISNUMBER('Fase de Grupos'!$H$2:$H$73)*'Fase de Grupos'!$H$2:$H$73)</f>
        <v>7</v>
      </c>
      <c r="H17" s="2">
        <f>SUMPRODUCT(('Fase de Grupos'!$E$2:$E$73=$B17)*ISNUMBER('Fase de Grupos'!$F$2:$F$73)*ISNUMBER('Fase de Grupos'!$H$2:$H$73)*'Fase de Grupos'!$H$2:$H$73)+SUMPRODUCT(('Fase de Grupos'!$I$2:$I$73=$B17)*ISNUMBER('Fase de Grupos'!$F$2:$F$73)*ISNUMBER('Fase de Grupos'!$H$2:$H$73)*'Fase de Grupos'!$F$2:$F$73)</f>
        <v>1</v>
      </c>
      <c r="I17" s="2">
        <f>G17-H17</f>
        <v>6</v>
      </c>
      <c r="J17" s="2">
        <f>D17*3+E17</f>
        <v>7</v>
      </c>
    </row>
    <row r="18" spans="1:10" x14ac:dyDescent="0.35">
      <c r="A18" s="2">
        <v>2</v>
      </c>
      <c r="B18" s="3" t="s">
        <v>37</v>
      </c>
      <c r="C18" s="2">
        <f>SUMPRODUCT(('Fase de Grupos'!$E$2:$E$73=$B18)*ISNUMBER('Fase de Grupos'!$F$2:$F$73)*ISNUMBER('Fase de Grupos'!$H$2:$H$73))+SUMPRODUCT(('Fase de Grupos'!$I$2:$I$73=$B18)*ISNUMBER('Fase de Grupos'!$F$2:$F$73)*ISNUMBER('Fase de Grupos'!$H$2:$H$73))</f>
        <v>3</v>
      </c>
      <c r="D18" s="2">
        <f>SUMPRODUCT(('Fase de Grupos'!$E$2:$E$73=$B18)*ISNUMBER('Fase de Grupos'!$F$2:$F$73)*ISNUMBER('Fase de Grupos'!$H$2:$H$73)*('Fase de Grupos'!$F$2:$F$73&gt;'Fase de Grupos'!$H$2:$H$73))+SUMPRODUCT(('Fase de Grupos'!$I$2:$I$73=$B18)*ISNUMBER('Fase de Grupos'!$F$2:$F$73)*ISNUMBER('Fase de Grupos'!$H$2:$H$73)*('Fase de Grupos'!$H$2:$H$73&gt;'Fase de Grupos'!$F$2:$F$73))</f>
        <v>2</v>
      </c>
      <c r="E18" s="2">
        <f>SUMPRODUCT(('Fase de Grupos'!$E$2:$E$73=$B18)*ISNUMBER('Fase de Grupos'!$F$2:$F$73)*ISNUMBER('Fase de Grupos'!$H$2:$H$73)*('Fase de Grupos'!$F$2:$F$73='Fase de Grupos'!$H$2:$H$73))+SUMPRODUCT(('Fase de Grupos'!$I$2:$I$73=$B18)*ISNUMBER('Fase de Grupos'!$F$2:$F$73)*ISNUMBER('Fase de Grupos'!$H$2:$H$73)*('Fase de Grupos'!$F$2:$F$73='Fase de Grupos'!$H$2:$H$73))</f>
        <v>1</v>
      </c>
      <c r="F18" s="2">
        <f>SUMPRODUCT(('Fase de Grupos'!$E$2:$E$73=$B18)*ISNUMBER('Fase de Grupos'!$F$2:$F$73)*ISNUMBER('Fase de Grupos'!$H$2:$H$73)*('Fase de Grupos'!$F$2:$F$73&lt;'Fase de Grupos'!$H$2:$H$73))+SUMPRODUCT(('Fase de Grupos'!$I$2:$I$73=$B18)*ISNUMBER('Fase de Grupos'!$F$2:$F$73)*ISNUMBER('Fase de Grupos'!$H$2:$H$73)*('Fase de Grupos'!$H$2:$H$73&lt;'Fase de Grupos'!$F$2:$F$73))</f>
        <v>0</v>
      </c>
      <c r="G18" s="2">
        <f>SUMPRODUCT(('Fase de Grupos'!$E$2:$E$73=$B18)*ISNUMBER('Fase de Grupos'!$F$2:$F$73)*ISNUMBER('Fase de Grupos'!$H$2:$H$73)*'Fase de Grupos'!$F$2:$F$73)+SUMPRODUCT(('Fase de Grupos'!$I$2:$I$73=$B18)*ISNUMBER('Fase de Grupos'!$F$2:$F$73)*ISNUMBER('Fase de Grupos'!$H$2:$H$73)*'Fase de Grupos'!$H$2:$H$73)</f>
        <v>6</v>
      </c>
      <c r="H18" s="2">
        <f>SUMPRODUCT(('Fase de Grupos'!$E$2:$E$73=$B18)*ISNUMBER('Fase de Grupos'!$F$2:$F$73)*ISNUMBER('Fase de Grupos'!$H$2:$H$73)*'Fase de Grupos'!$H$2:$H$73)+SUMPRODUCT(('Fase de Grupos'!$I$2:$I$73=$B18)*ISNUMBER('Fase de Grupos'!$F$2:$F$73)*ISNUMBER('Fase de Grupos'!$H$2:$H$73)*'Fase de Grupos'!$F$2:$F$73)</f>
        <v>3</v>
      </c>
      <c r="I18" s="2">
        <f>G18-H18</f>
        <v>3</v>
      </c>
      <c r="J18" s="2">
        <f>D18*3+E18</f>
        <v>7</v>
      </c>
    </row>
    <row r="19" spans="1:10" x14ac:dyDescent="0.35">
      <c r="A19" s="2">
        <v>3</v>
      </c>
      <c r="B19" s="3" t="s">
        <v>39</v>
      </c>
      <c r="C19" s="2">
        <f>SUMPRODUCT(('Fase de Grupos'!$E$2:$E$73=$B19)*ISNUMBER('Fase de Grupos'!$F$2:$F$73)*ISNUMBER('Fase de Grupos'!$H$2:$H$73))+SUMPRODUCT(('Fase de Grupos'!$I$2:$I$73=$B19)*ISNUMBER('Fase de Grupos'!$F$2:$F$73)*ISNUMBER('Fase de Grupos'!$H$2:$H$73))</f>
        <v>3</v>
      </c>
      <c r="D19" s="2">
        <f>SUMPRODUCT(('Fase de Grupos'!$E$2:$E$73=$B19)*ISNUMBER('Fase de Grupos'!$F$2:$F$73)*ISNUMBER('Fase de Grupos'!$H$2:$H$73)*('Fase de Grupos'!$F$2:$F$73&gt;'Fase de Grupos'!$H$2:$H$73))+SUMPRODUCT(('Fase de Grupos'!$I$2:$I$73=$B19)*ISNUMBER('Fase de Grupos'!$F$2:$F$73)*ISNUMBER('Fase de Grupos'!$H$2:$H$73)*('Fase de Grupos'!$H$2:$H$73&gt;'Fase de Grupos'!$F$2:$F$73))</f>
        <v>0</v>
      </c>
      <c r="E19" s="2">
        <f>SUMPRODUCT(('Fase de Grupos'!$E$2:$E$73=$B19)*ISNUMBER('Fase de Grupos'!$F$2:$F$73)*ISNUMBER('Fase de Grupos'!$H$2:$H$73)*('Fase de Grupos'!$F$2:$F$73='Fase de Grupos'!$H$2:$H$73))+SUMPRODUCT(('Fase de Grupos'!$I$2:$I$73=$B19)*ISNUMBER('Fase de Grupos'!$F$2:$F$73)*ISNUMBER('Fase de Grupos'!$H$2:$H$73)*('Fase de Grupos'!$F$2:$F$73='Fase de Grupos'!$H$2:$H$73))</f>
        <v>0</v>
      </c>
      <c r="F19" s="2">
        <f>SUMPRODUCT(('Fase de Grupos'!$E$2:$E$73=$B19)*ISNUMBER('Fase de Grupos'!$F$2:$F$73)*ISNUMBER('Fase de Grupos'!$H$2:$H$73)*('Fase de Grupos'!$F$2:$F$73&lt;'Fase de Grupos'!$H$2:$H$73))+SUMPRODUCT(('Fase de Grupos'!$I$2:$I$73=$B19)*ISNUMBER('Fase de Grupos'!$F$2:$F$73)*ISNUMBER('Fase de Grupos'!$H$2:$H$73)*('Fase de Grupos'!$H$2:$H$73&lt;'Fase de Grupos'!$F$2:$F$73))</f>
        <v>3</v>
      </c>
      <c r="G19" s="2">
        <f>SUMPRODUCT(('Fase de Grupos'!$E$2:$E$73=$B19)*ISNUMBER('Fase de Grupos'!$F$2:$F$73)*ISNUMBER('Fase de Grupos'!$H$2:$H$73)*'Fase de Grupos'!$F$2:$F$73)+SUMPRODUCT(('Fase de Grupos'!$I$2:$I$73=$B19)*ISNUMBER('Fase de Grupos'!$F$2:$F$73)*ISNUMBER('Fase de Grupos'!$H$2:$H$73)*'Fase de Grupos'!$H$2:$H$73)</f>
        <v>2</v>
      </c>
      <c r="H19" s="2">
        <f>SUMPRODUCT(('Fase de Grupos'!$E$2:$E$73=$B19)*ISNUMBER('Fase de Grupos'!$F$2:$F$73)*ISNUMBER('Fase de Grupos'!$H$2:$H$73)*'Fase de Grupos'!$H$2:$H$73)+SUMPRODUCT(('Fase de Grupos'!$I$2:$I$73=$B19)*ISNUMBER('Fase de Grupos'!$F$2:$F$73)*ISNUMBER('Fase de Grupos'!$H$2:$H$73)*'Fase de Grupos'!$F$2:$F$73)</f>
        <v>8</v>
      </c>
      <c r="I19" s="2">
        <f>G19-H19</f>
        <v>-6</v>
      </c>
      <c r="J19" s="2">
        <f>D19*3+E19</f>
        <v>0</v>
      </c>
    </row>
    <row r="20" spans="1:10" x14ac:dyDescent="0.35">
      <c r="A20" s="2">
        <v>4</v>
      </c>
      <c r="B20" s="3" t="s">
        <v>40</v>
      </c>
      <c r="C20" s="2">
        <f>SUMPRODUCT(('Fase de Grupos'!$E$2:$E$73=$B20)*ISNUMBER('Fase de Grupos'!$F$2:$F$73)*ISNUMBER('Fase de Grupos'!$H$2:$H$73))+SUMPRODUCT(('Fase de Grupos'!$I$2:$I$73=$B20)*ISNUMBER('Fase de Grupos'!$F$2:$F$73)*ISNUMBER('Fase de Grupos'!$H$2:$H$73))</f>
        <v>3</v>
      </c>
      <c r="D20" s="2">
        <f>SUMPRODUCT(('Fase de Grupos'!$E$2:$E$73=$B20)*ISNUMBER('Fase de Grupos'!$F$2:$F$73)*ISNUMBER('Fase de Grupos'!$H$2:$H$73)*('Fase de Grupos'!$F$2:$F$73&gt;'Fase de Grupos'!$H$2:$H$73))+SUMPRODUCT(('Fase de Grupos'!$I$2:$I$73=$B20)*ISNUMBER('Fase de Grupos'!$F$2:$F$73)*ISNUMBER('Fase de Grupos'!$H$2:$H$73)*('Fase de Grupos'!$H$2:$H$73&gt;'Fase de Grupos'!$F$2:$F$73))</f>
        <v>1</v>
      </c>
      <c r="E20" s="2">
        <f>SUMPRODUCT(('Fase de Grupos'!$E$2:$E$73=$B20)*ISNUMBER('Fase de Grupos'!$F$2:$F$73)*ISNUMBER('Fase de Grupos'!$H$2:$H$73)*('Fase de Grupos'!$F$2:$F$73='Fase de Grupos'!$H$2:$H$73))+SUMPRODUCT(('Fase de Grupos'!$I$2:$I$73=$B20)*ISNUMBER('Fase de Grupos'!$F$2:$F$73)*ISNUMBER('Fase de Grupos'!$H$2:$H$73)*('Fase de Grupos'!$F$2:$F$73='Fase de Grupos'!$H$2:$H$73))</f>
        <v>0</v>
      </c>
      <c r="F20" s="2">
        <f>SUMPRODUCT(('Fase de Grupos'!$E$2:$E$73=$B20)*ISNUMBER('Fase de Grupos'!$F$2:$F$73)*ISNUMBER('Fase de Grupos'!$H$2:$H$73)*('Fase de Grupos'!$F$2:$F$73&lt;'Fase de Grupos'!$H$2:$H$73))+SUMPRODUCT(('Fase de Grupos'!$I$2:$I$73=$B20)*ISNUMBER('Fase de Grupos'!$F$2:$F$73)*ISNUMBER('Fase de Grupos'!$H$2:$H$73)*('Fase de Grupos'!$H$2:$H$73&lt;'Fase de Grupos'!$F$2:$F$73))</f>
        <v>2</v>
      </c>
      <c r="G20" s="2">
        <f>SUMPRODUCT(('Fase de Grupos'!$E$2:$E$73=$B20)*ISNUMBER('Fase de Grupos'!$F$2:$F$73)*ISNUMBER('Fase de Grupos'!$H$2:$H$73)*'Fase de Grupos'!$F$2:$F$73)+SUMPRODUCT(('Fase de Grupos'!$I$2:$I$73=$B20)*ISNUMBER('Fase de Grupos'!$F$2:$F$73)*ISNUMBER('Fase de Grupos'!$H$2:$H$73)*'Fase de Grupos'!$H$2:$H$73)</f>
        <v>1</v>
      </c>
      <c r="H20" s="2">
        <f>SUMPRODUCT(('Fase de Grupos'!$E$2:$E$73=$B20)*ISNUMBER('Fase de Grupos'!$F$2:$F$73)*ISNUMBER('Fase de Grupos'!$H$2:$H$73)*'Fase de Grupos'!$H$2:$H$73)+SUMPRODUCT(('Fase de Grupos'!$I$2:$I$73=$B20)*ISNUMBER('Fase de Grupos'!$F$2:$F$73)*ISNUMBER('Fase de Grupos'!$H$2:$H$73)*'Fase de Grupos'!$F$2:$F$73)</f>
        <v>4</v>
      </c>
      <c r="I20" s="2">
        <f>G20-H20</f>
        <v>-3</v>
      </c>
      <c r="J20" s="2">
        <f>D20*3+E20</f>
        <v>3</v>
      </c>
    </row>
    <row r="22" spans="1:10" ht="15.5" x14ac:dyDescent="0.35">
      <c r="A22" s="29" t="s">
        <v>126</v>
      </c>
      <c r="B22" s="30"/>
      <c r="C22" s="30"/>
      <c r="D22" s="30"/>
      <c r="E22" s="30"/>
      <c r="F22" s="30"/>
      <c r="G22" s="30"/>
      <c r="H22" s="30"/>
      <c r="I22" s="30"/>
      <c r="J22" s="31"/>
    </row>
    <row r="23" spans="1:10" x14ac:dyDescent="0.35">
      <c r="A23" s="1" t="s">
        <v>117</v>
      </c>
      <c r="B23" s="1" t="s">
        <v>118</v>
      </c>
      <c r="C23" s="1" t="s">
        <v>85</v>
      </c>
      <c r="D23" s="1" t="s">
        <v>119</v>
      </c>
      <c r="E23" s="1" t="s">
        <v>48</v>
      </c>
      <c r="F23" s="1" t="s">
        <v>26</v>
      </c>
      <c r="G23" s="1" t="s">
        <v>120</v>
      </c>
      <c r="H23" s="1" t="s">
        <v>121</v>
      </c>
      <c r="I23" s="1" t="s">
        <v>122</v>
      </c>
      <c r="J23" s="1" t="s">
        <v>123</v>
      </c>
    </row>
    <row r="24" spans="1:10" x14ac:dyDescent="0.35">
      <c r="A24" s="2">
        <v>1</v>
      </c>
      <c r="B24" s="3" t="s">
        <v>27</v>
      </c>
      <c r="C24" s="2">
        <f>SUMPRODUCT(('Fase de Grupos'!$E$2:$E$73=$B24)*ISNUMBER('Fase de Grupos'!$F$2:$F$73)*ISNUMBER('Fase de Grupos'!$H$2:$H$73))+SUMPRODUCT(('Fase de Grupos'!$I$2:$I$73=$B24)*ISNUMBER('Fase de Grupos'!$F$2:$F$73)*ISNUMBER('Fase de Grupos'!$H$2:$H$73))</f>
        <v>3</v>
      </c>
      <c r="D24" s="2">
        <f>SUMPRODUCT(('Fase de Grupos'!$E$2:$E$73=$B24)*ISNUMBER('Fase de Grupos'!$F$2:$F$73)*ISNUMBER('Fase de Grupos'!$H$2:$H$73)*('Fase de Grupos'!$F$2:$F$73&gt;'Fase de Grupos'!$H$2:$H$73))+SUMPRODUCT(('Fase de Grupos'!$I$2:$I$73=$B24)*ISNUMBER('Fase de Grupos'!$F$2:$F$73)*ISNUMBER('Fase de Grupos'!$H$2:$H$73)*('Fase de Grupos'!$H$2:$H$73&gt;'Fase de Grupos'!$F$2:$F$73))</f>
        <v>2</v>
      </c>
      <c r="E24" s="2">
        <f>SUMPRODUCT(('Fase de Grupos'!$E$2:$E$73=$B24)*ISNUMBER('Fase de Grupos'!$F$2:$F$73)*ISNUMBER('Fase de Grupos'!$H$2:$H$73)*('Fase de Grupos'!$F$2:$F$73='Fase de Grupos'!$H$2:$H$73))+SUMPRODUCT(('Fase de Grupos'!$I$2:$I$73=$B24)*ISNUMBER('Fase de Grupos'!$F$2:$F$73)*ISNUMBER('Fase de Grupos'!$H$2:$H$73)*('Fase de Grupos'!$F$2:$F$73='Fase de Grupos'!$H$2:$H$73))</f>
        <v>0</v>
      </c>
      <c r="F24" s="2">
        <f>SUMPRODUCT(('Fase de Grupos'!$E$2:$E$73=$B24)*ISNUMBER('Fase de Grupos'!$F$2:$F$73)*ISNUMBER('Fase de Grupos'!$H$2:$H$73)*('Fase de Grupos'!$F$2:$F$73&lt;'Fase de Grupos'!$H$2:$H$73))+SUMPRODUCT(('Fase de Grupos'!$I$2:$I$73=$B24)*ISNUMBER('Fase de Grupos'!$F$2:$F$73)*ISNUMBER('Fase de Grupos'!$H$2:$H$73)*('Fase de Grupos'!$H$2:$H$73&lt;'Fase de Grupos'!$F$2:$F$73))</f>
        <v>1</v>
      </c>
      <c r="G24" s="2">
        <f>SUMPRODUCT(('Fase de Grupos'!$E$2:$E$73=$B24)*ISNUMBER('Fase de Grupos'!$F$2:$F$73)*ISNUMBER('Fase de Grupos'!$H$2:$H$73)*'Fase de Grupos'!$F$2:$F$73)+SUMPRODUCT(('Fase de Grupos'!$I$2:$I$73=$B24)*ISNUMBER('Fase de Grupos'!$F$2:$F$73)*ISNUMBER('Fase de Grupos'!$H$2:$H$73)*'Fase de Grupos'!$H$2:$H$73)</f>
        <v>8</v>
      </c>
      <c r="H24" s="2">
        <f>SUMPRODUCT(('Fase de Grupos'!$E$2:$E$73=$B24)*ISNUMBER('Fase de Grupos'!$F$2:$F$73)*ISNUMBER('Fase de Grupos'!$H$2:$H$73)*'Fase de Grupos'!$H$2:$H$73)+SUMPRODUCT(('Fase de Grupos'!$I$2:$I$73=$B24)*ISNUMBER('Fase de Grupos'!$F$2:$F$73)*ISNUMBER('Fase de Grupos'!$H$2:$H$73)*'Fase de Grupos'!$F$2:$F$73)</f>
        <v>4</v>
      </c>
      <c r="I24" s="2">
        <f>G24-H24</f>
        <v>4</v>
      </c>
      <c r="J24" s="2">
        <f>D24*3+E24</f>
        <v>6</v>
      </c>
    </row>
    <row r="25" spans="1:10" x14ac:dyDescent="0.35">
      <c r="A25" s="2">
        <v>2</v>
      </c>
      <c r="B25" s="3" t="s">
        <v>28</v>
      </c>
      <c r="C25" s="2">
        <f>SUMPRODUCT(('Fase de Grupos'!$E$2:$E$73=$B25)*ISNUMBER('Fase de Grupos'!$F$2:$F$73)*ISNUMBER('Fase de Grupos'!$H$2:$H$73))+SUMPRODUCT(('Fase de Grupos'!$I$2:$I$73=$B25)*ISNUMBER('Fase de Grupos'!$F$2:$F$73)*ISNUMBER('Fase de Grupos'!$H$2:$H$73))</f>
        <v>3</v>
      </c>
      <c r="D25" s="2">
        <f>SUMPRODUCT(('Fase de Grupos'!$E$2:$E$73=$B25)*ISNUMBER('Fase de Grupos'!$F$2:$F$73)*ISNUMBER('Fase de Grupos'!$H$2:$H$73)*('Fase de Grupos'!$F$2:$F$73&gt;'Fase de Grupos'!$H$2:$H$73))+SUMPRODUCT(('Fase de Grupos'!$I$2:$I$73=$B25)*ISNUMBER('Fase de Grupos'!$F$2:$F$73)*ISNUMBER('Fase de Grupos'!$H$2:$H$73)*('Fase de Grupos'!$H$2:$H$73&gt;'Fase de Grupos'!$F$2:$F$73))</f>
        <v>1</v>
      </c>
      <c r="E25" s="2">
        <f>SUMPRODUCT(('Fase de Grupos'!$E$2:$E$73=$B25)*ISNUMBER('Fase de Grupos'!$F$2:$F$73)*ISNUMBER('Fase de Grupos'!$H$2:$H$73)*('Fase de Grupos'!$F$2:$F$73='Fase de Grupos'!$H$2:$H$73))+SUMPRODUCT(('Fase de Grupos'!$I$2:$I$73=$B25)*ISNUMBER('Fase de Grupos'!$F$2:$F$73)*ISNUMBER('Fase de Grupos'!$H$2:$H$73)*('Fase de Grupos'!$F$2:$F$73='Fase de Grupos'!$H$2:$H$73))</f>
        <v>1</v>
      </c>
      <c r="F25" s="2">
        <f>SUMPRODUCT(('Fase de Grupos'!$E$2:$E$73=$B25)*ISNUMBER('Fase de Grupos'!$F$2:$F$73)*ISNUMBER('Fase de Grupos'!$H$2:$H$73)*('Fase de Grupos'!$F$2:$F$73&lt;'Fase de Grupos'!$H$2:$H$73))+SUMPRODUCT(('Fase de Grupos'!$I$2:$I$73=$B25)*ISNUMBER('Fase de Grupos'!$F$2:$F$73)*ISNUMBER('Fase de Grupos'!$H$2:$H$73)*('Fase de Grupos'!$H$2:$H$73&lt;'Fase de Grupos'!$F$2:$F$73))</f>
        <v>1</v>
      </c>
      <c r="G25" s="2">
        <f>SUMPRODUCT(('Fase de Grupos'!$E$2:$E$73=$B25)*ISNUMBER('Fase de Grupos'!$F$2:$F$73)*ISNUMBER('Fase de Grupos'!$H$2:$H$73)*'Fase de Grupos'!$F$2:$F$73)+SUMPRODUCT(('Fase de Grupos'!$I$2:$I$73=$B25)*ISNUMBER('Fase de Grupos'!$F$2:$F$73)*ISNUMBER('Fase de Grupos'!$H$2:$H$73)*'Fase de Grupos'!$H$2:$H$73)</f>
        <v>2</v>
      </c>
      <c r="H25" s="2">
        <f>SUMPRODUCT(('Fase de Grupos'!$E$2:$E$73=$B25)*ISNUMBER('Fase de Grupos'!$F$2:$F$73)*ISNUMBER('Fase de Grupos'!$H$2:$H$73)*'Fase de Grupos'!$H$2:$H$73)+SUMPRODUCT(('Fase de Grupos'!$I$2:$I$73=$B25)*ISNUMBER('Fase de Grupos'!$F$2:$F$73)*ISNUMBER('Fase de Grupos'!$H$2:$H$73)*'Fase de Grupos'!$F$2:$F$73)</f>
        <v>4</v>
      </c>
      <c r="I25" s="2">
        <f>G25-H25</f>
        <v>-2</v>
      </c>
      <c r="J25" s="2">
        <f>D25*3+E25</f>
        <v>4</v>
      </c>
    </row>
    <row r="26" spans="1:10" x14ac:dyDescent="0.35">
      <c r="A26" s="2">
        <v>3</v>
      </c>
      <c r="B26" s="3" t="s">
        <v>44</v>
      </c>
      <c r="C26" s="2">
        <f>SUMPRODUCT(('Fase de Grupos'!$E$2:$E$73=$B26)*ISNUMBER('Fase de Grupos'!$F$2:$F$73)*ISNUMBER('Fase de Grupos'!$H$2:$H$73))+SUMPRODUCT(('Fase de Grupos'!$I$2:$I$73=$B26)*ISNUMBER('Fase de Grupos'!$F$2:$F$73)*ISNUMBER('Fase de Grupos'!$H$2:$H$73))</f>
        <v>3</v>
      </c>
      <c r="D26" s="2">
        <f>SUMPRODUCT(('Fase de Grupos'!$E$2:$E$73=$B26)*ISNUMBER('Fase de Grupos'!$F$2:$F$73)*ISNUMBER('Fase de Grupos'!$H$2:$H$73)*('Fase de Grupos'!$F$2:$F$73&gt;'Fase de Grupos'!$H$2:$H$73))+SUMPRODUCT(('Fase de Grupos'!$I$2:$I$73=$B26)*ISNUMBER('Fase de Grupos'!$F$2:$F$73)*ISNUMBER('Fase de Grupos'!$H$2:$H$73)*('Fase de Grupos'!$H$2:$H$73&gt;'Fase de Grupos'!$F$2:$F$73))</f>
        <v>1</v>
      </c>
      <c r="E26" s="2">
        <f>SUMPRODUCT(('Fase de Grupos'!$E$2:$E$73=$B26)*ISNUMBER('Fase de Grupos'!$F$2:$F$73)*ISNUMBER('Fase de Grupos'!$H$2:$H$73)*('Fase de Grupos'!$F$2:$F$73='Fase de Grupos'!$H$2:$H$73))+SUMPRODUCT(('Fase de Grupos'!$I$2:$I$73=$B26)*ISNUMBER('Fase de Grupos'!$F$2:$F$73)*ISNUMBER('Fase de Grupos'!$H$2:$H$73)*('Fase de Grupos'!$F$2:$F$73='Fase de Grupos'!$H$2:$H$73))</f>
        <v>1</v>
      </c>
      <c r="F26" s="2">
        <f>SUMPRODUCT(('Fase de Grupos'!$E$2:$E$73=$B26)*ISNUMBER('Fase de Grupos'!$F$2:$F$73)*ISNUMBER('Fase de Grupos'!$H$2:$H$73)*('Fase de Grupos'!$F$2:$F$73&lt;'Fase de Grupos'!$H$2:$H$73))+SUMPRODUCT(('Fase de Grupos'!$I$2:$I$73=$B26)*ISNUMBER('Fase de Grupos'!$F$2:$F$73)*ISNUMBER('Fase de Grupos'!$H$2:$H$73)*('Fase de Grupos'!$H$2:$H$73&lt;'Fase de Grupos'!$F$2:$F$73))</f>
        <v>1</v>
      </c>
      <c r="G26" s="2">
        <f>SUMPRODUCT(('Fase de Grupos'!$E$2:$E$73=$B26)*ISNUMBER('Fase de Grupos'!$F$2:$F$73)*ISNUMBER('Fase de Grupos'!$H$2:$H$73)*'Fase de Grupos'!$F$2:$F$73)+SUMPRODUCT(('Fase de Grupos'!$I$2:$I$73=$B26)*ISNUMBER('Fase de Grupos'!$F$2:$F$73)*ISNUMBER('Fase de Grupos'!$H$2:$H$73)*'Fase de Grupos'!$H$2:$H$73)</f>
        <v>2</v>
      </c>
      <c r="H26" s="2">
        <f>SUMPRODUCT(('Fase de Grupos'!$E$2:$E$73=$B26)*ISNUMBER('Fase de Grupos'!$F$2:$F$73)*ISNUMBER('Fase de Grupos'!$H$2:$H$73)*'Fase de Grupos'!$H$2:$H$73)+SUMPRODUCT(('Fase de Grupos'!$I$2:$I$73=$B26)*ISNUMBER('Fase de Grupos'!$F$2:$F$73)*ISNUMBER('Fase de Grupos'!$H$2:$H$73)*'Fase de Grupos'!$F$2:$F$73)</f>
        <v>2</v>
      </c>
      <c r="I26" s="2">
        <f>G26-H26</f>
        <v>0</v>
      </c>
      <c r="J26" s="2">
        <f>D26*3+E26</f>
        <v>4</v>
      </c>
    </row>
    <row r="27" spans="1:10" x14ac:dyDescent="0.35">
      <c r="A27" s="2">
        <v>4</v>
      </c>
      <c r="B27" s="3" t="s">
        <v>45</v>
      </c>
      <c r="C27" s="2">
        <f>SUMPRODUCT(('Fase de Grupos'!$E$2:$E$73=$B27)*ISNUMBER('Fase de Grupos'!$F$2:$F$73)*ISNUMBER('Fase de Grupos'!$H$2:$H$73))+SUMPRODUCT(('Fase de Grupos'!$I$2:$I$73=$B27)*ISNUMBER('Fase de Grupos'!$F$2:$F$73)*ISNUMBER('Fase de Grupos'!$H$2:$H$73))</f>
        <v>3</v>
      </c>
      <c r="D27" s="2">
        <f>SUMPRODUCT(('Fase de Grupos'!$E$2:$E$73=$B27)*ISNUMBER('Fase de Grupos'!$F$2:$F$73)*ISNUMBER('Fase de Grupos'!$H$2:$H$73)*('Fase de Grupos'!$F$2:$F$73&gt;'Fase de Grupos'!$H$2:$H$73))+SUMPRODUCT(('Fase de Grupos'!$I$2:$I$73=$B27)*ISNUMBER('Fase de Grupos'!$F$2:$F$73)*ISNUMBER('Fase de Grupos'!$H$2:$H$73)*('Fase de Grupos'!$H$2:$H$73&gt;'Fase de Grupos'!$F$2:$F$73))</f>
        <v>1</v>
      </c>
      <c r="E27" s="2">
        <f>SUMPRODUCT(('Fase de Grupos'!$E$2:$E$73=$B27)*ISNUMBER('Fase de Grupos'!$F$2:$F$73)*ISNUMBER('Fase de Grupos'!$H$2:$H$73)*('Fase de Grupos'!$F$2:$F$73='Fase de Grupos'!$H$2:$H$73))+SUMPRODUCT(('Fase de Grupos'!$I$2:$I$73=$B27)*ISNUMBER('Fase de Grupos'!$F$2:$F$73)*ISNUMBER('Fase de Grupos'!$H$2:$H$73)*('Fase de Grupos'!$F$2:$F$73='Fase de Grupos'!$H$2:$H$73))</f>
        <v>0</v>
      </c>
      <c r="F27" s="2">
        <f>SUMPRODUCT(('Fase de Grupos'!$E$2:$E$73=$B27)*ISNUMBER('Fase de Grupos'!$F$2:$F$73)*ISNUMBER('Fase de Grupos'!$H$2:$H$73)*('Fase de Grupos'!$F$2:$F$73&lt;'Fase de Grupos'!$H$2:$H$73))+SUMPRODUCT(('Fase de Grupos'!$I$2:$I$73=$B27)*ISNUMBER('Fase de Grupos'!$F$2:$F$73)*ISNUMBER('Fase de Grupos'!$H$2:$H$73)*('Fase de Grupos'!$H$2:$H$73&lt;'Fase de Grupos'!$F$2:$F$73))</f>
        <v>2</v>
      </c>
      <c r="G27" s="2">
        <f>SUMPRODUCT(('Fase de Grupos'!$E$2:$E$73=$B27)*ISNUMBER('Fase de Grupos'!$F$2:$F$73)*ISNUMBER('Fase de Grupos'!$H$2:$H$73)*'Fase de Grupos'!$F$2:$F$73)+SUMPRODUCT(('Fase de Grupos'!$I$2:$I$73=$B27)*ISNUMBER('Fase de Grupos'!$F$2:$F$73)*ISNUMBER('Fase de Grupos'!$H$2:$H$73)*'Fase de Grupos'!$H$2:$H$73)</f>
        <v>3</v>
      </c>
      <c r="H27" s="2">
        <f>SUMPRODUCT(('Fase de Grupos'!$E$2:$E$73=$B27)*ISNUMBER('Fase de Grupos'!$F$2:$F$73)*ISNUMBER('Fase de Grupos'!$H$2:$H$73)*'Fase de Grupos'!$H$2:$H$73)+SUMPRODUCT(('Fase de Grupos'!$I$2:$I$73=$B27)*ISNUMBER('Fase de Grupos'!$F$2:$F$73)*ISNUMBER('Fase de Grupos'!$H$2:$H$73)*'Fase de Grupos'!$F$2:$F$73)</f>
        <v>5</v>
      </c>
      <c r="I27" s="2">
        <f>G27-H27</f>
        <v>-2</v>
      </c>
      <c r="J27" s="2">
        <f>D27*3+E27</f>
        <v>3</v>
      </c>
    </row>
    <row r="29" spans="1:10" ht="15.5" x14ac:dyDescent="0.35">
      <c r="A29" s="29" t="s">
        <v>127</v>
      </c>
      <c r="B29" s="30"/>
      <c r="C29" s="30"/>
      <c r="D29" s="30"/>
      <c r="E29" s="30"/>
      <c r="F29" s="30"/>
      <c r="G29" s="30"/>
      <c r="H29" s="30"/>
      <c r="I29" s="30"/>
      <c r="J29" s="31"/>
    </row>
    <row r="30" spans="1:10" x14ac:dyDescent="0.35">
      <c r="A30" s="1" t="s">
        <v>117</v>
      </c>
      <c r="B30" s="1" t="s">
        <v>118</v>
      </c>
      <c r="C30" s="1" t="s">
        <v>85</v>
      </c>
      <c r="D30" s="1" t="s">
        <v>119</v>
      </c>
      <c r="E30" s="1" t="s">
        <v>48</v>
      </c>
      <c r="F30" s="1" t="s">
        <v>26</v>
      </c>
      <c r="G30" s="1" t="s">
        <v>120</v>
      </c>
      <c r="H30" s="1" t="s">
        <v>121</v>
      </c>
      <c r="I30" s="1" t="s">
        <v>122</v>
      </c>
      <c r="J30" s="1" t="s">
        <v>123</v>
      </c>
    </row>
    <row r="31" spans="1:10" x14ac:dyDescent="0.35">
      <c r="A31" s="2">
        <v>1</v>
      </c>
      <c r="B31" s="3" t="s">
        <v>49</v>
      </c>
      <c r="C31" s="2">
        <f>SUMPRODUCT(('Fase de Grupos'!$E$2:$E$73=$B31)*ISNUMBER('Fase de Grupos'!$F$2:$F$73)*ISNUMBER('Fase de Grupos'!$H$2:$H$73))+SUMPRODUCT(('Fase de Grupos'!$I$2:$I$73=$B31)*ISNUMBER('Fase de Grupos'!$F$2:$F$73)*ISNUMBER('Fase de Grupos'!$H$2:$H$73))</f>
        <v>3</v>
      </c>
      <c r="D31" s="2">
        <f>SUMPRODUCT(('Fase de Grupos'!$E$2:$E$73=$B31)*ISNUMBER('Fase de Grupos'!$F$2:$F$73)*ISNUMBER('Fase de Grupos'!$H$2:$H$73)*('Fase de Grupos'!$F$2:$F$73&gt;'Fase de Grupos'!$H$2:$H$73))+SUMPRODUCT(('Fase de Grupos'!$I$2:$I$73=$B31)*ISNUMBER('Fase de Grupos'!$F$2:$F$73)*ISNUMBER('Fase de Grupos'!$H$2:$H$73)*('Fase de Grupos'!$H$2:$H$73&gt;'Fase de Grupos'!$F$2:$F$73))</f>
        <v>2</v>
      </c>
      <c r="E31" s="2">
        <f>SUMPRODUCT(('Fase de Grupos'!$E$2:$E$73=$B31)*ISNUMBER('Fase de Grupos'!$F$2:$F$73)*ISNUMBER('Fase de Grupos'!$H$2:$H$73)*('Fase de Grupos'!$F$2:$F$73='Fase de Grupos'!$H$2:$H$73))+SUMPRODUCT(('Fase de Grupos'!$I$2:$I$73=$B31)*ISNUMBER('Fase de Grupos'!$F$2:$F$73)*ISNUMBER('Fase de Grupos'!$H$2:$H$73)*('Fase de Grupos'!$F$2:$F$73='Fase de Grupos'!$H$2:$H$73))</f>
        <v>0</v>
      </c>
      <c r="F31" s="2">
        <f>SUMPRODUCT(('Fase de Grupos'!$E$2:$E$73=$B31)*ISNUMBER('Fase de Grupos'!$F$2:$F$73)*ISNUMBER('Fase de Grupos'!$H$2:$H$73)*('Fase de Grupos'!$F$2:$F$73&lt;'Fase de Grupos'!$H$2:$H$73))+SUMPRODUCT(('Fase de Grupos'!$I$2:$I$73=$B31)*ISNUMBER('Fase de Grupos'!$F$2:$F$73)*ISNUMBER('Fase de Grupos'!$H$2:$H$73)*('Fase de Grupos'!$H$2:$H$73&lt;'Fase de Grupos'!$F$2:$F$73))</f>
        <v>1</v>
      </c>
      <c r="G31" s="2">
        <f>SUMPRODUCT(('Fase de Grupos'!$E$2:$E$73=$B31)*ISNUMBER('Fase de Grupos'!$F$2:$F$73)*ISNUMBER('Fase de Grupos'!$H$2:$H$73)*'Fase de Grupos'!$F$2:$F$73)+SUMPRODUCT(('Fase de Grupos'!$I$2:$I$73=$B31)*ISNUMBER('Fase de Grupos'!$F$2:$F$73)*ISNUMBER('Fase de Grupos'!$H$2:$H$73)*'Fase de Grupos'!$H$2:$H$73)</f>
        <v>10</v>
      </c>
      <c r="H31" s="2">
        <f>SUMPRODUCT(('Fase de Grupos'!$E$2:$E$73=$B31)*ISNUMBER('Fase de Grupos'!$F$2:$F$73)*ISNUMBER('Fase de Grupos'!$H$2:$H$73)*'Fase de Grupos'!$H$2:$H$73)+SUMPRODUCT(('Fase de Grupos'!$I$2:$I$73=$B31)*ISNUMBER('Fase de Grupos'!$F$2:$F$73)*ISNUMBER('Fase de Grupos'!$H$2:$H$73)*'Fase de Grupos'!$F$2:$F$73)</f>
        <v>4</v>
      </c>
      <c r="I31" s="2">
        <f>G31-H31</f>
        <v>6</v>
      </c>
      <c r="J31" s="2">
        <f>D31*3+E31</f>
        <v>6</v>
      </c>
    </row>
    <row r="32" spans="1:10" x14ac:dyDescent="0.35">
      <c r="A32" s="2">
        <v>2</v>
      </c>
      <c r="B32" s="3" t="s">
        <v>50</v>
      </c>
      <c r="C32" s="2">
        <f>SUMPRODUCT(('Fase de Grupos'!$E$2:$E$73=$B32)*ISNUMBER('Fase de Grupos'!$F$2:$F$73)*ISNUMBER('Fase de Grupos'!$H$2:$H$73))+SUMPRODUCT(('Fase de Grupos'!$I$2:$I$73=$B32)*ISNUMBER('Fase de Grupos'!$F$2:$F$73)*ISNUMBER('Fase de Grupos'!$H$2:$H$73))</f>
        <v>3</v>
      </c>
      <c r="D32" s="2">
        <f>SUMPRODUCT(('Fase de Grupos'!$E$2:$E$73=$B32)*ISNUMBER('Fase de Grupos'!$F$2:$F$73)*ISNUMBER('Fase de Grupos'!$H$2:$H$73)*('Fase de Grupos'!$F$2:$F$73&gt;'Fase de Grupos'!$H$2:$H$73))+SUMPRODUCT(('Fase de Grupos'!$I$2:$I$73=$B32)*ISNUMBER('Fase de Grupos'!$F$2:$F$73)*ISNUMBER('Fase de Grupos'!$H$2:$H$73)*('Fase de Grupos'!$H$2:$H$73&gt;'Fase de Grupos'!$F$2:$F$73))</f>
        <v>0</v>
      </c>
      <c r="E32" s="2">
        <f>SUMPRODUCT(('Fase de Grupos'!$E$2:$E$73=$B32)*ISNUMBER('Fase de Grupos'!$F$2:$F$73)*ISNUMBER('Fase de Grupos'!$H$2:$H$73)*('Fase de Grupos'!$F$2:$F$73='Fase de Grupos'!$H$2:$H$73))+SUMPRODUCT(('Fase de Grupos'!$I$2:$I$73=$B32)*ISNUMBER('Fase de Grupos'!$F$2:$F$73)*ISNUMBER('Fase de Grupos'!$H$2:$H$73)*('Fase de Grupos'!$F$2:$F$73='Fase de Grupos'!$H$2:$H$73))</f>
        <v>1</v>
      </c>
      <c r="F32" s="2">
        <f>SUMPRODUCT(('Fase de Grupos'!$E$2:$E$73=$B32)*ISNUMBER('Fase de Grupos'!$F$2:$F$73)*ISNUMBER('Fase de Grupos'!$H$2:$H$73)*('Fase de Grupos'!$F$2:$F$73&lt;'Fase de Grupos'!$H$2:$H$73))+SUMPRODUCT(('Fase de Grupos'!$I$2:$I$73=$B32)*ISNUMBER('Fase de Grupos'!$F$2:$F$73)*ISNUMBER('Fase de Grupos'!$H$2:$H$73)*('Fase de Grupos'!$H$2:$H$73&lt;'Fase de Grupos'!$F$2:$F$73))</f>
        <v>2</v>
      </c>
      <c r="G32" s="2">
        <f>SUMPRODUCT(('Fase de Grupos'!$E$2:$E$73=$B32)*ISNUMBER('Fase de Grupos'!$F$2:$F$73)*ISNUMBER('Fase de Grupos'!$H$2:$H$73)*'Fase de Grupos'!$F$2:$F$73)+SUMPRODUCT(('Fase de Grupos'!$I$2:$I$73=$B32)*ISNUMBER('Fase de Grupos'!$F$2:$F$73)*ISNUMBER('Fase de Grupos'!$H$2:$H$73)*'Fase de Grupos'!$H$2:$H$73)</f>
        <v>1</v>
      </c>
      <c r="H32" s="2">
        <f>SUMPRODUCT(('Fase de Grupos'!$E$2:$E$73=$B32)*ISNUMBER('Fase de Grupos'!$F$2:$F$73)*ISNUMBER('Fase de Grupos'!$H$2:$H$73)*'Fase de Grupos'!$H$2:$H$73)+SUMPRODUCT(('Fase de Grupos'!$I$2:$I$73=$B32)*ISNUMBER('Fase de Grupos'!$F$2:$F$73)*ISNUMBER('Fase de Grupos'!$H$2:$H$73)*'Fase de Grupos'!$F$2:$F$73)</f>
        <v>9</v>
      </c>
      <c r="I32" s="2">
        <f>G32-H32</f>
        <v>-8</v>
      </c>
      <c r="J32" s="2">
        <f>D32*3+E32</f>
        <v>1</v>
      </c>
    </row>
    <row r="33" spans="1:10" x14ac:dyDescent="0.35">
      <c r="A33" s="2">
        <v>3</v>
      </c>
      <c r="B33" s="3" t="s">
        <v>58</v>
      </c>
      <c r="C33" s="2">
        <f>SUMPRODUCT(('Fase de Grupos'!$E$2:$E$73=$B33)*ISNUMBER('Fase de Grupos'!$F$2:$F$73)*ISNUMBER('Fase de Grupos'!$H$2:$H$73))+SUMPRODUCT(('Fase de Grupos'!$I$2:$I$73=$B33)*ISNUMBER('Fase de Grupos'!$F$2:$F$73)*ISNUMBER('Fase de Grupos'!$H$2:$H$73))</f>
        <v>3</v>
      </c>
      <c r="D33" s="2">
        <f>SUMPRODUCT(('Fase de Grupos'!$E$2:$E$73=$B33)*ISNUMBER('Fase de Grupos'!$F$2:$F$73)*ISNUMBER('Fase de Grupos'!$H$2:$H$73)*('Fase de Grupos'!$F$2:$F$73&gt;'Fase de Grupos'!$H$2:$H$73))+SUMPRODUCT(('Fase de Grupos'!$I$2:$I$73=$B33)*ISNUMBER('Fase de Grupos'!$F$2:$F$73)*ISNUMBER('Fase de Grupos'!$H$2:$H$73)*('Fase de Grupos'!$H$2:$H$73&gt;'Fase de Grupos'!$F$2:$F$73))</f>
        <v>2</v>
      </c>
      <c r="E33" s="2">
        <f>SUMPRODUCT(('Fase de Grupos'!$E$2:$E$73=$B33)*ISNUMBER('Fase de Grupos'!$F$2:$F$73)*ISNUMBER('Fase de Grupos'!$H$2:$H$73)*('Fase de Grupos'!$F$2:$F$73='Fase de Grupos'!$H$2:$H$73))+SUMPRODUCT(('Fase de Grupos'!$I$2:$I$73=$B33)*ISNUMBER('Fase de Grupos'!$F$2:$F$73)*ISNUMBER('Fase de Grupos'!$H$2:$H$73)*('Fase de Grupos'!$F$2:$F$73='Fase de Grupos'!$H$2:$H$73))</f>
        <v>0</v>
      </c>
      <c r="F33" s="2">
        <f>SUMPRODUCT(('Fase de Grupos'!$E$2:$E$73=$B33)*ISNUMBER('Fase de Grupos'!$F$2:$F$73)*ISNUMBER('Fase de Grupos'!$H$2:$H$73)*('Fase de Grupos'!$F$2:$F$73&lt;'Fase de Grupos'!$H$2:$H$73))+SUMPRODUCT(('Fase de Grupos'!$I$2:$I$73=$B33)*ISNUMBER('Fase de Grupos'!$F$2:$F$73)*ISNUMBER('Fase de Grupos'!$H$2:$H$73)*('Fase de Grupos'!$H$2:$H$73&lt;'Fase de Grupos'!$F$2:$F$73))</f>
        <v>1</v>
      </c>
      <c r="G33" s="2">
        <f>SUMPRODUCT(('Fase de Grupos'!$E$2:$E$73=$B33)*ISNUMBER('Fase de Grupos'!$F$2:$F$73)*ISNUMBER('Fase de Grupos'!$H$2:$H$73)*'Fase de Grupos'!$F$2:$F$73)+SUMPRODUCT(('Fase de Grupos'!$I$2:$I$73=$B33)*ISNUMBER('Fase de Grupos'!$F$2:$F$73)*ISNUMBER('Fase de Grupos'!$H$2:$H$73)*'Fase de Grupos'!$H$2:$H$73)</f>
        <v>4</v>
      </c>
      <c r="H33" s="2">
        <f>SUMPRODUCT(('Fase de Grupos'!$E$2:$E$73=$B33)*ISNUMBER('Fase de Grupos'!$F$2:$F$73)*ISNUMBER('Fase de Grupos'!$H$2:$H$73)*'Fase de Grupos'!$H$2:$H$73)+SUMPRODUCT(('Fase de Grupos'!$I$2:$I$73=$B33)*ISNUMBER('Fase de Grupos'!$F$2:$F$73)*ISNUMBER('Fase de Grupos'!$H$2:$H$73)*'Fase de Grupos'!$F$2:$F$73)</f>
        <v>2</v>
      </c>
      <c r="I33" s="2">
        <f>G33-H33</f>
        <v>2</v>
      </c>
      <c r="J33" s="2">
        <f>D33*3+E33</f>
        <v>6</v>
      </c>
    </row>
    <row r="34" spans="1:10" x14ac:dyDescent="0.35">
      <c r="A34" s="2">
        <v>4</v>
      </c>
      <c r="B34" s="3" t="s">
        <v>59</v>
      </c>
      <c r="C34" s="2">
        <f>SUMPRODUCT(('Fase de Grupos'!$E$2:$E$73=$B34)*ISNUMBER('Fase de Grupos'!$F$2:$F$73)*ISNUMBER('Fase de Grupos'!$H$2:$H$73))+SUMPRODUCT(('Fase de Grupos'!$I$2:$I$73=$B34)*ISNUMBER('Fase de Grupos'!$F$2:$F$73)*ISNUMBER('Fase de Grupos'!$H$2:$H$73))</f>
        <v>3</v>
      </c>
      <c r="D34" s="2">
        <f>SUMPRODUCT(('Fase de Grupos'!$E$2:$E$73=$B34)*ISNUMBER('Fase de Grupos'!$F$2:$F$73)*ISNUMBER('Fase de Grupos'!$H$2:$H$73)*('Fase de Grupos'!$F$2:$F$73&gt;'Fase de Grupos'!$H$2:$H$73))+SUMPRODUCT(('Fase de Grupos'!$I$2:$I$73=$B34)*ISNUMBER('Fase de Grupos'!$F$2:$F$73)*ISNUMBER('Fase de Grupos'!$H$2:$H$73)*('Fase de Grupos'!$H$2:$H$73&gt;'Fase de Grupos'!$F$2:$F$73))</f>
        <v>1</v>
      </c>
      <c r="E34" s="2">
        <f>SUMPRODUCT(('Fase de Grupos'!$E$2:$E$73=$B34)*ISNUMBER('Fase de Grupos'!$F$2:$F$73)*ISNUMBER('Fase de Grupos'!$H$2:$H$73)*('Fase de Grupos'!$F$2:$F$73='Fase de Grupos'!$H$2:$H$73))+SUMPRODUCT(('Fase de Grupos'!$I$2:$I$73=$B34)*ISNUMBER('Fase de Grupos'!$F$2:$F$73)*ISNUMBER('Fase de Grupos'!$H$2:$H$73)*('Fase de Grupos'!$F$2:$F$73='Fase de Grupos'!$H$2:$H$73))</f>
        <v>1</v>
      </c>
      <c r="F34" s="2">
        <f>SUMPRODUCT(('Fase de Grupos'!$E$2:$E$73=$B34)*ISNUMBER('Fase de Grupos'!$F$2:$F$73)*ISNUMBER('Fase de Grupos'!$H$2:$H$73)*('Fase de Grupos'!$F$2:$F$73&lt;'Fase de Grupos'!$H$2:$H$73))+SUMPRODUCT(('Fase de Grupos'!$I$2:$I$73=$B34)*ISNUMBER('Fase de Grupos'!$F$2:$F$73)*ISNUMBER('Fase de Grupos'!$H$2:$H$73)*('Fase de Grupos'!$H$2:$H$73&lt;'Fase de Grupos'!$F$2:$F$73))</f>
        <v>1</v>
      </c>
      <c r="G34" s="2">
        <f>SUMPRODUCT(('Fase de Grupos'!$E$2:$E$73=$B34)*ISNUMBER('Fase de Grupos'!$F$2:$F$73)*ISNUMBER('Fase de Grupos'!$H$2:$H$73)*'Fase de Grupos'!$F$2:$F$73)+SUMPRODUCT(('Fase de Grupos'!$I$2:$I$73=$B34)*ISNUMBER('Fase de Grupos'!$F$2:$F$73)*ISNUMBER('Fase de Grupos'!$H$2:$H$73)*'Fase de Grupos'!$H$2:$H$73)</f>
        <v>2</v>
      </c>
      <c r="H34" s="2">
        <f>SUMPRODUCT(('Fase de Grupos'!$E$2:$E$73=$B34)*ISNUMBER('Fase de Grupos'!$F$2:$F$73)*ISNUMBER('Fase de Grupos'!$H$2:$H$73)*'Fase de Grupos'!$H$2:$H$73)+SUMPRODUCT(('Fase de Grupos'!$I$2:$I$73=$B34)*ISNUMBER('Fase de Grupos'!$F$2:$F$73)*ISNUMBER('Fase de Grupos'!$H$2:$H$73)*'Fase de Grupos'!$F$2:$F$73)</f>
        <v>2</v>
      </c>
      <c r="I34" s="2">
        <f>G34-H34</f>
        <v>0</v>
      </c>
      <c r="J34" s="2">
        <f>D34*3+E34</f>
        <v>4</v>
      </c>
    </row>
    <row r="36" spans="1:10" ht="15.5" x14ac:dyDescent="0.35">
      <c r="A36" s="29" t="s">
        <v>128</v>
      </c>
      <c r="B36" s="30"/>
      <c r="C36" s="30"/>
      <c r="D36" s="30"/>
      <c r="E36" s="30"/>
      <c r="F36" s="30"/>
      <c r="G36" s="30"/>
      <c r="H36" s="30"/>
      <c r="I36" s="30"/>
      <c r="J36" s="31"/>
    </row>
    <row r="37" spans="1:10" x14ac:dyDescent="0.35">
      <c r="A37" s="1" t="s">
        <v>117</v>
      </c>
      <c r="B37" s="1" t="s">
        <v>118</v>
      </c>
      <c r="C37" s="1" t="s">
        <v>85</v>
      </c>
      <c r="D37" s="1" t="s">
        <v>119</v>
      </c>
      <c r="E37" s="1" t="s">
        <v>48</v>
      </c>
      <c r="F37" s="1" t="s">
        <v>26</v>
      </c>
      <c r="G37" s="1" t="s">
        <v>120</v>
      </c>
      <c r="H37" s="1" t="s">
        <v>121</v>
      </c>
      <c r="I37" s="1" t="s">
        <v>122</v>
      </c>
      <c r="J37" s="1" t="s">
        <v>123</v>
      </c>
    </row>
    <row r="38" spans="1:10" x14ac:dyDescent="0.35">
      <c r="A38" s="2">
        <v>1</v>
      </c>
      <c r="B38" s="3" t="s">
        <v>54</v>
      </c>
      <c r="C38" s="2">
        <f>SUMPRODUCT(('Fase de Grupos'!$E$2:$E$73=$B38)*ISNUMBER('Fase de Grupos'!$F$2:$F$73)*ISNUMBER('Fase de Grupos'!$H$2:$H$73))+SUMPRODUCT(('Fase de Grupos'!$I$2:$I$73=$B38)*ISNUMBER('Fase de Grupos'!$F$2:$F$73)*ISNUMBER('Fase de Grupos'!$H$2:$H$73))</f>
        <v>3</v>
      </c>
      <c r="D38" s="2">
        <f>SUMPRODUCT(('Fase de Grupos'!$E$2:$E$73=$B38)*ISNUMBER('Fase de Grupos'!$F$2:$F$73)*ISNUMBER('Fase de Grupos'!$H$2:$H$73)*('Fase de Grupos'!$F$2:$F$73&gt;'Fase de Grupos'!$H$2:$H$73))+SUMPRODUCT(('Fase de Grupos'!$I$2:$I$73=$B38)*ISNUMBER('Fase de Grupos'!$F$2:$F$73)*ISNUMBER('Fase de Grupos'!$H$2:$H$73)*('Fase de Grupos'!$H$2:$H$73&gt;'Fase de Grupos'!$F$2:$F$73))</f>
        <v>2</v>
      </c>
      <c r="E38" s="2">
        <f>SUMPRODUCT(('Fase de Grupos'!$E$2:$E$73=$B38)*ISNUMBER('Fase de Grupos'!$F$2:$F$73)*ISNUMBER('Fase de Grupos'!$H$2:$H$73)*('Fase de Grupos'!$F$2:$F$73='Fase de Grupos'!$H$2:$H$73))+SUMPRODUCT(('Fase de Grupos'!$I$2:$I$73=$B38)*ISNUMBER('Fase de Grupos'!$F$2:$F$73)*ISNUMBER('Fase de Grupos'!$H$2:$H$73)*('Fase de Grupos'!$F$2:$F$73='Fase de Grupos'!$H$2:$H$73))</f>
        <v>1</v>
      </c>
      <c r="F38" s="2">
        <f>SUMPRODUCT(('Fase de Grupos'!$E$2:$E$73=$B38)*ISNUMBER('Fase de Grupos'!$F$2:$F$73)*ISNUMBER('Fase de Grupos'!$H$2:$H$73)*('Fase de Grupos'!$F$2:$F$73&lt;'Fase de Grupos'!$H$2:$H$73))+SUMPRODUCT(('Fase de Grupos'!$I$2:$I$73=$B38)*ISNUMBER('Fase de Grupos'!$F$2:$F$73)*ISNUMBER('Fase de Grupos'!$H$2:$H$73)*('Fase de Grupos'!$H$2:$H$73&lt;'Fase de Grupos'!$F$2:$F$73))</f>
        <v>0</v>
      </c>
      <c r="G38" s="2">
        <f>SUMPRODUCT(('Fase de Grupos'!$E$2:$E$73=$B38)*ISNUMBER('Fase de Grupos'!$F$2:$F$73)*ISNUMBER('Fase de Grupos'!$H$2:$H$73)*'Fase de Grupos'!$F$2:$F$73)+SUMPRODUCT(('Fase de Grupos'!$I$2:$I$73=$B38)*ISNUMBER('Fase de Grupos'!$F$2:$F$73)*ISNUMBER('Fase de Grupos'!$H$2:$H$73)*'Fase de Grupos'!$H$2:$H$73)</f>
        <v>10</v>
      </c>
      <c r="H38" s="2">
        <f>SUMPRODUCT(('Fase de Grupos'!$E$2:$E$73=$B38)*ISNUMBER('Fase de Grupos'!$F$2:$F$73)*ISNUMBER('Fase de Grupos'!$H$2:$H$73)*'Fase de Grupos'!$H$2:$H$73)+SUMPRODUCT(('Fase de Grupos'!$I$2:$I$73=$B38)*ISNUMBER('Fase de Grupos'!$F$2:$F$73)*ISNUMBER('Fase de Grupos'!$H$2:$H$73)*'Fase de Grupos'!$F$2:$F$73)</f>
        <v>4</v>
      </c>
      <c r="I38" s="2">
        <f>G38-H38</f>
        <v>6</v>
      </c>
      <c r="J38" s="2">
        <f>D38*3+E38</f>
        <v>7</v>
      </c>
    </row>
    <row r="39" spans="1:10" x14ac:dyDescent="0.35">
      <c r="A39" s="2">
        <v>2</v>
      </c>
      <c r="B39" s="3" t="s">
        <v>55</v>
      </c>
      <c r="C39" s="2">
        <f>SUMPRODUCT(('Fase de Grupos'!$E$2:$E$73=$B39)*ISNUMBER('Fase de Grupos'!$F$2:$F$73)*ISNUMBER('Fase de Grupos'!$H$2:$H$73))+SUMPRODUCT(('Fase de Grupos'!$I$2:$I$73=$B39)*ISNUMBER('Fase de Grupos'!$F$2:$F$73)*ISNUMBER('Fase de Grupos'!$H$2:$H$73))</f>
        <v>3</v>
      </c>
      <c r="D39" s="2">
        <f>SUMPRODUCT(('Fase de Grupos'!$E$2:$E$73=$B39)*ISNUMBER('Fase de Grupos'!$F$2:$F$73)*ISNUMBER('Fase de Grupos'!$H$2:$H$73)*('Fase de Grupos'!$F$2:$F$73&gt;'Fase de Grupos'!$H$2:$H$73))+SUMPRODUCT(('Fase de Grupos'!$I$2:$I$73=$B39)*ISNUMBER('Fase de Grupos'!$F$2:$F$73)*ISNUMBER('Fase de Grupos'!$H$2:$H$73)*('Fase de Grupos'!$H$2:$H$73&gt;'Fase de Grupos'!$F$2:$F$73))</f>
        <v>1</v>
      </c>
      <c r="E39" s="2">
        <f>SUMPRODUCT(('Fase de Grupos'!$E$2:$E$73=$B39)*ISNUMBER('Fase de Grupos'!$F$2:$F$73)*ISNUMBER('Fase de Grupos'!$H$2:$H$73)*('Fase de Grupos'!$F$2:$F$73='Fase de Grupos'!$H$2:$H$73))+SUMPRODUCT(('Fase de Grupos'!$I$2:$I$73=$B39)*ISNUMBER('Fase de Grupos'!$F$2:$F$73)*ISNUMBER('Fase de Grupos'!$H$2:$H$73)*('Fase de Grupos'!$F$2:$F$73='Fase de Grupos'!$H$2:$H$73))</f>
        <v>2</v>
      </c>
      <c r="F39" s="2">
        <f>SUMPRODUCT(('Fase de Grupos'!$E$2:$E$73=$B39)*ISNUMBER('Fase de Grupos'!$F$2:$F$73)*ISNUMBER('Fase de Grupos'!$H$2:$H$73)*('Fase de Grupos'!$F$2:$F$73&lt;'Fase de Grupos'!$H$2:$H$73))+SUMPRODUCT(('Fase de Grupos'!$I$2:$I$73=$B39)*ISNUMBER('Fase de Grupos'!$F$2:$F$73)*ISNUMBER('Fase de Grupos'!$H$2:$H$73)*('Fase de Grupos'!$H$2:$H$73&lt;'Fase de Grupos'!$F$2:$F$73))</f>
        <v>0</v>
      </c>
      <c r="G39" s="2">
        <f>SUMPRODUCT(('Fase de Grupos'!$E$2:$E$73=$B39)*ISNUMBER('Fase de Grupos'!$F$2:$F$73)*ISNUMBER('Fase de Grupos'!$H$2:$H$73)*'Fase de Grupos'!$F$2:$F$73)+SUMPRODUCT(('Fase de Grupos'!$I$2:$I$73=$B39)*ISNUMBER('Fase de Grupos'!$F$2:$F$73)*ISNUMBER('Fase de Grupos'!$H$2:$H$73)*'Fase de Grupos'!$H$2:$H$73)</f>
        <v>7</v>
      </c>
      <c r="H39" s="2">
        <f>SUMPRODUCT(('Fase de Grupos'!$E$2:$E$73=$B39)*ISNUMBER('Fase de Grupos'!$F$2:$F$73)*ISNUMBER('Fase de Grupos'!$H$2:$H$73)*'Fase de Grupos'!$H$2:$H$73)+SUMPRODUCT(('Fase de Grupos'!$I$2:$I$73=$B39)*ISNUMBER('Fase de Grupos'!$F$2:$F$73)*ISNUMBER('Fase de Grupos'!$H$2:$H$73)*'Fase de Grupos'!$F$2:$F$73)</f>
        <v>3</v>
      </c>
      <c r="I39" s="2">
        <f>G39-H39</f>
        <v>4</v>
      </c>
      <c r="J39" s="2">
        <f>D39*3+E39</f>
        <v>5</v>
      </c>
    </row>
    <row r="40" spans="1:10" x14ac:dyDescent="0.35">
      <c r="A40" s="2">
        <v>3</v>
      </c>
      <c r="B40" s="3" t="s">
        <v>62</v>
      </c>
      <c r="C40" s="2">
        <f>SUMPRODUCT(('Fase de Grupos'!$E$2:$E$73=$B40)*ISNUMBER('Fase de Grupos'!$F$2:$F$73)*ISNUMBER('Fase de Grupos'!$H$2:$H$73))+SUMPRODUCT(('Fase de Grupos'!$I$2:$I$73=$B40)*ISNUMBER('Fase de Grupos'!$F$2:$F$73)*ISNUMBER('Fase de Grupos'!$H$2:$H$73))</f>
        <v>3</v>
      </c>
      <c r="D40" s="2">
        <f>SUMPRODUCT(('Fase de Grupos'!$E$2:$E$73=$B40)*ISNUMBER('Fase de Grupos'!$F$2:$F$73)*ISNUMBER('Fase de Grupos'!$H$2:$H$73)*('Fase de Grupos'!$F$2:$F$73&gt;'Fase de Grupos'!$H$2:$H$73))+SUMPRODUCT(('Fase de Grupos'!$I$2:$I$73=$B40)*ISNUMBER('Fase de Grupos'!$F$2:$F$73)*ISNUMBER('Fase de Grupos'!$H$2:$H$73)*('Fase de Grupos'!$H$2:$H$73&gt;'Fase de Grupos'!$F$2:$F$73))</f>
        <v>0</v>
      </c>
      <c r="E40" s="2">
        <f>SUMPRODUCT(('Fase de Grupos'!$E$2:$E$73=$B40)*ISNUMBER('Fase de Grupos'!$F$2:$F$73)*ISNUMBER('Fase de Grupos'!$H$2:$H$73)*('Fase de Grupos'!$F$2:$F$73='Fase de Grupos'!$H$2:$H$73))+SUMPRODUCT(('Fase de Grupos'!$I$2:$I$73=$B40)*ISNUMBER('Fase de Grupos'!$F$2:$F$73)*ISNUMBER('Fase de Grupos'!$H$2:$H$73)*('Fase de Grupos'!$F$2:$F$73='Fase de Grupos'!$H$2:$H$73))</f>
        <v>0</v>
      </c>
      <c r="F40" s="2">
        <f>SUMPRODUCT(('Fase de Grupos'!$E$2:$E$73=$B40)*ISNUMBER('Fase de Grupos'!$F$2:$F$73)*ISNUMBER('Fase de Grupos'!$H$2:$H$73)*('Fase de Grupos'!$F$2:$F$73&lt;'Fase de Grupos'!$H$2:$H$73))+SUMPRODUCT(('Fase de Grupos'!$I$2:$I$73=$B40)*ISNUMBER('Fase de Grupos'!$F$2:$F$73)*ISNUMBER('Fase de Grupos'!$H$2:$H$73)*('Fase de Grupos'!$H$2:$H$73&lt;'Fase de Grupos'!$F$2:$F$73))</f>
        <v>3</v>
      </c>
      <c r="G40" s="2">
        <f>SUMPRODUCT(('Fase de Grupos'!$E$2:$E$73=$B40)*ISNUMBER('Fase de Grupos'!$F$2:$F$73)*ISNUMBER('Fase de Grupos'!$H$2:$H$73)*'Fase de Grupos'!$F$2:$F$73)+SUMPRODUCT(('Fase de Grupos'!$I$2:$I$73=$B40)*ISNUMBER('Fase de Grupos'!$F$2:$F$73)*ISNUMBER('Fase de Grupos'!$H$2:$H$73)*'Fase de Grupos'!$H$2:$H$73)</f>
        <v>2</v>
      </c>
      <c r="H40" s="2">
        <f>SUMPRODUCT(('Fase de Grupos'!$E$2:$E$73=$B40)*ISNUMBER('Fase de Grupos'!$F$2:$F$73)*ISNUMBER('Fase de Grupos'!$H$2:$H$73)*'Fase de Grupos'!$H$2:$H$73)+SUMPRODUCT(('Fase de Grupos'!$I$2:$I$73=$B40)*ISNUMBER('Fase de Grupos'!$F$2:$F$73)*ISNUMBER('Fase de Grupos'!$H$2:$H$73)*'Fase de Grupos'!$F$2:$F$73)</f>
        <v>12</v>
      </c>
      <c r="I40" s="2">
        <f>G40-H40</f>
        <v>-10</v>
      </c>
      <c r="J40" s="2">
        <f>D40*3+E40</f>
        <v>0</v>
      </c>
    </row>
    <row r="41" spans="1:10" x14ac:dyDescent="0.35">
      <c r="A41" s="2">
        <v>4</v>
      </c>
      <c r="B41" s="3" t="s">
        <v>61</v>
      </c>
      <c r="C41" s="2">
        <f>SUMPRODUCT(('Fase de Grupos'!$E$2:$E$73=$B41)*ISNUMBER('Fase de Grupos'!$F$2:$F$73)*ISNUMBER('Fase de Grupos'!$H$2:$H$73))+SUMPRODUCT(('Fase de Grupos'!$I$2:$I$73=$B41)*ISNUMBER('Fase de Grupos'!$F$2:$F$73)*ISNUMBER('Fase de Grupos'!$H$2:$H$73))</f>
        <v>3</v>
      </c>
      <c r="D41" s="2">
        <f>SUMPRODUCT(('Fase de Grupos'!$E$2:$E$73=$B41)*ISNUMBER('Fase de Grupos'!$F$2:$F$73)*ISNUMBER('Fase de Grupos'!$H$2:$H$73)*('Fase de Grupos'!$F$2:$F$73&gt;'Fase de Grupos'!$H$2:$H$73))+SUMPRODUCT(('Fase de Grupos'!$I$2:$I$73=$B41)*ISNUMBER('Fase de Grupos'!$F$2:$F$73)*ISNUMBER('Fase de Grupos'!$H$2:$H$73)*('Fase de Grupos'!$H$2:$H$73&gt;'Fase de Grupos'!$F$2:$F$73))</f>
        <v>1</v>
      </c>
      <c r="E41" s="2">
        <f>SUMPRODUCT(('Fase de Grupos'!$E$2:$E$73=$B41)*ISNUMBER('Fase de Grupos'!$F$2:$F$73)*ISNUMBER('Fase de Grupos'!$H$2:$H$73)*('Fase de Grupos'!$F$2:$F$73='Fase de Grupos'!$H$2:$H$73))+SUMPRODUCT(('Fase de Grupos'!$I$2:$I$73=$B41)*ISNUMBER('Fase de Grupos'!$F$2:$F$73)*ISNUMBER('Fase de Grupos'!$H$2:$H$73)*('Fase de Grupos'!$F$2:$F$73='Fase de Grupos'!$H$2:$H$73))</f>
        <v>1</v>
      </c>
      <c r="F41" s="2">
        <f>SUMPRODUCT(('Fase de Grupos'!$E$2:$E$73=$B41)*ISNUMBER('Fase de Grupos'!$F$2:$F$73)*ISNUMBER('Fase de Grupos'!$H$2:$H$73)*('Fase de Grupos'!$F$2:$F$73&lt;'Fase de Grupos'!$H$2:$H$73))+SUMPRODUCT(('Fase de Grupos'!$I$2:$I$73=$B41)*ISNUMBER('Fase de Grupos'!$F$2:$F$73)*ISNUMBER('Fase de Grupos'!$H$2:$H$73)*('Fase de Grupos'!$H$2:$H$73&lt;'Fase de Grupos'!$F$2:$F$73))</f>
        <v>1</v>
      </c>
      <c r="G41" s="2">
        <f>SUMPRODUCT(('Fase de Grupos'!$E$2:$E$73=$B41)*ISNUMBER('Fase de Grupos'!$F$2:$F$73)*ISNUMBER('Fase de Grupos'!$H$2:$H$73)*'Fase de Grupos'!$F$2:$F$73)+SUMPRODUCT(('Fase de Grupos'!$I$2:$I$73=$B41)*ISNUMBER('Fase de Grupos'!$F$2:$F$73)*ISNUMBER('Fase de Grupos'!$H$2:$H$73)*'Fase de Grupos'!$H$2:$H$73)</f>
        <v>7</v>
      </c>
      <c r="H41" s="2">
        <f>SUMPRODUCT(('Fase de Grupos'!$E$2:$E$73=$B41)*ISNUMBER('Fase de Grupos'!$F$2:$F$73)*ISNUMBER('Fase de Grupos'!$H$2:$H$73)*'Fase de Grupos'!$H$2:$H$73)+SUMPRODUCT(('Fase de Grupos'!$I$2:$I$73=$B41)*ISNUMBER('Fase de Grupos'!$F$2:$F$73)*ISNUMBER('Fase de Grupos'!$H$2:$H$73)*'Fase de Grupos'!$F$2:$F$73)</f>
        <v>7</v>
      </c>
      <c r="I41" s="2">
        <f>G41-H41</f>
        <v>0</v>
      </c>
      <c r="J41" s="2">
        <f>D41*3+E41</f>
        <v>4</v>
      </c>
    </row>
    <row r="43" spans="1:10" ht="15.5" x14ac:dyDescent="0.35">
      <c r="A43" s="29" t="s">
        <v>129</v>
      </c>
      <c r="B43" s="30"/>
      <c r="C43" s="30"/>
      <c r="D43" s="30"/>
      <c r="E43" s="30"/>
      <c r="F43" s="30"/>
      <c r="G43" s="30"/>
      <c r="H43" s="30"/>
      <c r="I43" s="30"/>
      <c r="J43" s="31"/>
    </row>
    <row r="44" spans="1:10" x14ac:dyDescent="0.35">
      <c r="A44" s="1" t="s">
        <v>117</v>
      </c>
      <c r="B44" s="1" t="s">
        <v>118</v>
      </c>
      <c r="C44" s="1" t="s">
        <v>85</v>
      </c>
      <c r="D44" s="1" t="s">
        <v>119</v>
      </c>
      <c r="E44" s="1" t="s">
        <v>48</v>
      </c>
      <c r="F44" s="1" t="s">
        <v>26</v>
      </c>
      <c r="G44" s="1" t="s">
        <v>120</v>
      </c>
      <c r="H44" s="1" t="s">
        <v>121</v>
      </c>
      <c r="I44" s="1" t="s">
        <v>122</v>
      </c>
      <c r="J44" s="1" t="s">
        <v>123</v>
      </c>
    </row>
    <row r="45" spans="1:10" x14ac:dyDescent="0.35">
      <c r="A45" s="2">
        <v>1</v>
      </c>
      <c r="B45" s="3" t="s">
        <v>71</v>
      </c>
      <c r="C45" s="2">
        <f>SUMPRODUCT(('Fase de Grupos'!$E$2:$E$73=$B45)*ISNUMBER('Fase de Grupos'!$F$2:$F$73)*ISNUMBER('Fase de Grupos'!$H$2:$H$73))+SUMPRODUCT(('Fase de Grupos'!$I$2:$I$73=$B45)*ISNUMBER('Fase de Grupos'!$F$2:$F$73)*ISNUMBER('Fase de Grupos'!$H$2:$H$73))</f>
        <v>3</v>
      </c>
      <c r="D45" s="2">
        <f>SUMPRODUCT(('Fase de Grupos'!$E$2:$E$73=$B45)*ISNUMBER('Fase de Grupos'!$F$2:$F$73)*ISNUMBER('Fase de Grupos'!$H$2:$H$73)*('Fase de Grupos'!$F$2:$F$73&gt;'Fase de Grupos'!$H$2:$H$73))+SUMPRODUCT(('Fase de Grupos'!$I$2:$I$73=$B45)*ISNUMBER('Fase de Grupos'!$F$2:$F$73)*ISNUMBER('Fase de Grupos'!$H$2:$H$73)*('Fase de Grupos'!$H$2:$H$73&gt;'Fase de Grupos'!$F$2:$F$73))</f>
        <v>1</v>
      </c>
      <c r="E45" s="2">
        <f>SUMPRODUCT(('Fase de Grupos'!$E$2:$E$73=$B45)*ISNUMBER('Fase de Grupos'!$F$2:$F$73)*ISNUMBER('Fase de Grupos'!$H$2:$H$73)*('Fase de Grupos'!$F$2:$F$73='Fase de Grupos'!$H$2:$H$73))+SUMPRODUCT(('Fase de Grupos'!$I$2:$I$73=$B45)*ISNUMBER('Fase de Grupos'!$F$2:$F$73)*ISNUMBER('Fase de Grupos'!$H$2:$H$73)*('Fase de Grupos'!$F$2:$F$73='Fase de Grupos'!$H$2:$H$73))</f>
        <v>2</v>
      </c>
      <c r="F45" s="2">
        <f>SUMPRODUCT(('Fase de Grupos'!$E$2:$E$73=$B45)*ISNUMBER('Fase de Grupos'!$F$2:$F$73)*ISNUMBER('Fase de Grupos'!$H$2:$H$73)*('Fase de Grupos'!$F$2:$F$73&lt;'Fase de Grupos'!$H$2:$H$73))+SUMPRODUCT(('Fase de Grupos'!$I$2:$I$73=$B45)*ISNUMBER('Fase de Grupos'!$F$2:$F$73)*ISNUMBER('Fase de Grupos'!$H$2:$H$73)*('Fase de Grupos'!$H$2:$H$73&lt;'Fase de Grupos'!$F$2:$F$73))</f>
        <v>0</v>
      </c>
      <c r="G45" s="2">
        <f>SUMPRODUCT(('Fase de Grupos'!$E$2:$E$73=$B45)*ISNUMBER('Fase de Grupos'!$F$2:$F$73)*ISNUMBER('Fase de Grupos'!$H$2:$H$73)*'Fase de Grupos'!$F$2:$F$73)+SUMPRODUCT(('Fase de Grupos'!$I$2:$I$73=$B45)*ISNUMBER('Fase de Grupos'!$F$2:$F$73)*ISNUMBER('Fase de Grupos'!$H$2:$H$73)*'Fase de Grupos'!$H$2:$H$73)</f>
        <v>6</v>
      </c>
      <c r="H45" s="2">
        <f>SUMPRODUCT(('Fase de Grupos'!$E$2:$E$73=$B45)*ISNUMBER('Fase de Grupos'!$F$2:$F$73)*ISNUMBER('Fase de Grupos'!$H$2:$H$73)*'Fase de Grupos'!$H$2:$H$73)+SUMPRODUCT(('Fase de Grupos'!$I$2:$I$73=$B45)*ISNUMBER('Fase de Grupos'!$F$2:$F$73)*ISNUMBER('Fase de Grupos'!$H$2:$H$73)*'Fase de Grupos'!$F$2:$F$73)</f>
        <v>2</v>
      </c>
      <c r="I45" s="2">
        <f>G45-H45</f>
        <v>4</v>
      </c>
      <c r="J45" s="2">
        <f>D45*3+E45</f>
        <v>5</v>
      </c>
    </row>
    <row r="46" spans="1:10" x14ac:dyDescent="0.35">
      <c r="A46" s="2">
        <v>2</v>
      </c>
      <c r="B46" s="3" t="s">
        <v>72</v>
      </c>
      <c r="C46" s="2">
        <f>SUMPRODUCT(('Fase de Grupos'!$E$2:$E$73=$B46)*ISNUMBER('Fase de Grupos'!$F$2:$F$73)*ISNUMBER('Fase de Grupos'!$H$2:$H$73))+SUMPRODUCT(('Fase de Grupos'!$I$2:$I$73=$B46)*ISNUMBER('Fase de Grupos'!$F$2:$F$73)*ISNUMBER('Fase de Grupos'!$H$2:$H$73))</f>
        <v>3</v>
      </c>
      <c r="D46" s="2">
        <f>SUMPRODUCT(('Fase de Grupos'!$E$2:$E$73=$B46)*ISNUMBER('Fase de Grupos'!$F$2:$F$73)*ISNUMBER('Fase de Grupos'!$H$2:$H$73)*('Fase de Grupos'!$F$2:$F$73&gt;'Fase de Grupos'!$H$2:$H$73))+SUMPRODUCT(('Fase de Grupos'!$I$2:$I$73=$B46)*ISNUMBER('Fase de Grupos'!$F$2:$F$73)*ISNUMBER('Fase de Grupos'!$H$2:$H$73)*('Fase de Grupos'!$H$2:$H$73&gt;'Fase de Grupos'!$F$2:$F$73))</f>
        <v>1</v>
      </c>
      <c r="E46" s="2">
        <f>SUMPRODUCT(('Fase de Grupos'!$E$2:$E$73=$B46)*ISNUMBER('Fase de Grupos'!$F$2:$F$73)*ISNUMBER('Fase de Grupos'!$H$2:$H$73)*('Fase de Grupos'!$F$2:$F$73='Fase de Grupos'!$H$2:$H$73))+SUMPRODUCT(('Fase de Grupos'!$I$2:$I$73=$B46)*ISNUMBER('Fase de Grupos'!$F$2:$F$73)*ISNUMBER('Fase de Grupos'!$H$2:$H$73)*('Fase de Grupos'!$F$2:$F$73='Fase de Grupos'!$H$2:$H$73))</f>
        <v>2</v>
      </c>
      <c r="F46" s="2">
        <f>SUMPRODUCT(('Fase de Grupos'!$E$2:$E$73=$B46)*ISNUMBER('Fase de Grupos'!$F$2:$F$73)*ISNUMBER('Fase de Grupos'!$H$2:$H$73)*('Fase de Grupos'!$F$2:$F$73&lt;'Fase de Grupos'!$H$2:$H$73))+SUMPRODUCT(('Fase de Grupos'!$I$2:$I$73=$B46)*ISNUMBER('Fase de Grupos'!$F$2:$F$73)*ISNUMBER('Fase de Grupos'!$H$2:$H$73)*('Fase de Grupos'!$H$2:$H$73&lt;'Fase de Grupos'!$F$2:$F$73))</f>
        <v>0</v>
      </c>
      <c r="G46" s="2">
        <f>SUMPRODUCT(('Fase de Grupos'!$E$2:$E$73=$B46)*ISNUMBER('Fase de Grupos'!$F$2:$F$73)*ISNUMBER('Fase de Grupos'!$H$2:$H$73)*'Fase de Grupos'!$F$2:$F$73)+SUMPRODUCT(('Fase de Grupos'!$I$2:$I$73=$B46)*ISNUMBER('Fase de Grupos'!$F$2:$F$73)*ISNUMBER('Fase de Grupos'!$H$2:$H$73)*'Fase de Grupos'!$H$2:$H$73)</f>
        <v>5</v>
      </c>
      <c r="H46" s="2">
        <f>SUMPRODUCT(('Fase de Grupos'!$E$2:$E$73=$B46)*ISNUMBER('Fase de Grupos'!$F$2:$F$73)*ISNUMBER('Fase de Grupos'!$H$2:$H$73)*'Fase de Grupos'!$H$2:$H$73)+SUMPRODUCT(('Fase de Grupos'!$I$2:$I$73=$B46)*ISNUMBER('Fase de Grupos'!$F$2:$F$73)*ISNUMBER('Fase de Grupos'!$H$2:$H$73)*'Fase de Grupos'!$F$2:$F$73)</f>
        <v>3</v>
      </c>
      <c r="I46" s="2">
        <f>G46-H46</f>
        <v>2</v>
      </c>
      <c r="J46" s="2">
        <f>D46*3+E46</f>
        <v>5</v>
      </c>
    </row>
    <row r="47" spans="1:10" x14ac:dyDescent="0.35">
      <c r="A47" s="2">
        <v>3</v>
      </c>
      <c r="B47" s="3" t="s">
        <v>77</v>
      </c>
      <c r="C47" s="2">
        <f>SUMPRODUCT(('Fase de Grupos'!$E$2:$E$73=$B47)*ISNUMBER('Fase de Grupos'!$F$2:$F$73)*ISNUMBER('Fase de Grupos'!$H$2:$H$73))+SUMPRODUCT(('Fase de Grupos'!$I$2:$I$73=$B47)*ISNUMBER('Fase de Grupos'!$F$2:$F$73)*ISNUMBER('Fase de Grupos'!$H$2:$H$73))</f>
        <v>3</v>
      </c>
      <c r="D47" s="2">
        <f>SUMPRODUCT(('Fase de Grupos'!$E$2:$E$73=$B47)*ISNUMBER('Fase de Grupos'!$F$2:$F$73)*ISNUMBER('Fase de Grupos'!$H$2:$H$73)*('Fase de Grupos'!$F$2:$F$73&gt;'Fase de Grupos'!$H$2:$H$73))+SUMPRODUCT(('Fase de Grupos'!$I$2:$I$73=$B47)*ISNUMBER('Fase de Grupos'!$F$2:$F$73)*ISNUMBER('Fase de Grupos'!$H$2:$H$73)*('Fase de Grupos'!$H$2:$H$73&gt;'Fase de Grupos'!$F$2:$F$73))</f>
        <v>0</v>
      </c>
      <c r="E47" s="2">
        <f>SUMPRODUCT(('Fase de Grupos'!$E$2:$E$73=$B47)*ISNUMBER('Fase de Grupos'!$F$2:$F$73)*ISNUMBER('Fase de Grupos'!$H$2:$H$73)*('Fase de Grupos'!$F$2:$F$73='Fase de Grupos'!$H$2:$H$73))+SUMPRODUCT(('Fase de Grupos'!$I$2:$I$73=$B47)*ISNUMBER('Fase de Grupos'!$F$2:$F$73)*ISNUMBER('Fase de Grupos'!$H$2:$H$73)*('Fase de Grupos'!$F$2:$F$73='Fase de Grupos'!$H$2:$H$73))</f>
        <v>3</v>
      </c>
      <c r="F47" s="2">
        <f>SUMPRODUCT(('Fase de Grupos'!$E$2:$E$73=$B47)*ISNUMBER('Fase de Grupos'!$F$2:$F$73)*ISNUMBER('Fase de Grupos'!$H$2:$H$73)*('Fase de Grupos'!$F$2:$F$73&lt;'Fase de Grupos'!$H$2:$H$73))+SUMPRODUCT(('Fase de Grupos'!$I$2:$I$73=$B47)*ISNUMBER('Fase de Grupos'!$F$2:$F$73)*ISNUMBER('Fase de Grupos'!$H$2:$H$73)*('Fase de Grupos'!$H$2:$H$73&lt;'Fase de Grupos'!$F$2:$F$73))</f>
        <v>0</v>
      </c>
      <c r="G47" s="2">
        <f>SUMPRODUCT(('Fase de Grupos'!$E$2:$E$73=$B47)*ISNUMBER('Fase de Grupos'!$F$2:$F$73)*ISNUMBER('Fase de Grupos'!$H$2:$H$73)*'Fase de Grupos'!$F$2:$F$73)+SUMPRODUCT(('Fase de Grupos'!$I$2:$I$73=$B47)*ISNUMBER('Fase de Grupos'!$F$2:$F$73)*ISNUMBER('Fase de Grupos'!$H$2:$H$73)*'Fase de Grupos'!$H$2:$H$73)</f>
        <v>3</v>
      </c>
      <c r="H47" s="2">
        <f>SUMPRODUCT(('Fase de Grupos'!$E$2:$E$73=$B47)*ISNUMBER('Fase de Grupos'!$F$2:$F$73)*ISNUMBER('Fase de Grupos'!$H$2:$H$73)*'Fase de Grupos'!$H$2:$H$73)+SUMPRODUCT(('Fase de Grupos'!$I$2:$I$73=$B47)*ISNUMBER('Fase de Grupos'!$F$2:$F$73)*ISNUMBER('Fase de Grupos'!$H$2:$H$73)*'Fase de Grupos'!$F$2:$F$73)</f>
        <v>3</v>
      </c>
      <c r="I47" s="2">
        <f>G47-H47</f>
        <v>0</v>
      </c>
      <c r="J47" s="2">
        <f>D47*3+E47</f>
        <v>3</v>
      </c>
    </row>
    <row r="48" spans="1:10" x14ac:dyDescent="0.35">
      <c r="A48" s="2">
        <v>4</v>
      </c>
      <c r="B48" s="3" t="s">
        <v>78</v>
      </c>
      <c r="C48" s="2">
        <f>SUMPRODUCT(('Fase de Grupos'!$E$2:$E$73=$B48)*ISNUMBER('Fase de Grupos'!$F$2:$F$73)*ISNUMBER('Fase de Grupos'!$H$2:$H$73))+SUMPRODUCT(('Fase de Grupos'!$I$2:$I$73=$B48)*ISNUMBER('Fase de Grupos'!$F$2:$F$73)*ISNUMBER('Fase de Grupos'!$H$2:$H$73))</f>
        <v>3</v>
      </c>
      <c r="D48" s="2">
        <f>SUMPRODUCT(('Fase de Grupos'!$E$2:$E$73=$B48)*ISNUMBER('Fase de Grupos'!$F$2:$F$73)*ISNUMBER('Fase de Grupos'!$H$2:$H$73)*('Fase de Grupos'!$F$2:$F$73&gt;'Fase de Grupos'!$H$2:$H$73))+SUMPRODUCT(('Fase de Grupos'!$I$2:$I$73=$B48)*ISNUMBER('Fase de Grupos'!$F$2:$F$73)*ISNUMBER('Fase de Grupos'!$H$2:$H$73)*('Fase de Grupos'!$H$2:$H$73&gt;'Fase de Grupos'!$F$2:$F$73))</f>
        <v>0</v>
      </c>
      <c r="E48" s="2">
        <f>SUMPRODUCT(('Fase de Grupos'!$E$2:$E$73=$B48)*ISNUMBER('Fase de Grupos'!$F$2:$F$73)*ISNUMBER('Fase de Grupos'!$H$2:$H$73)*('Fase de Grupos'!$F$2:$F$73='Fase de Grupos'!$H$2:$H$73))+SUMPRODUCT(('Fase de Grupos'!$I$2:$I$73=$B48)*ISNUMBER('Fase de Grupos'!$F$2:$F$73)*ISNUMBER('Fase de Grupos'!$H$2:$H$73)*('Fase de Grupos'!$F$2:$F$73='Fase de Grupos'!$H$2:$H$73))</f>
        <v>1</v>
      </c>
      <c r="F48" s="2">
        <f>SUMPRODUCT(('Fase de Grupos'!$E$2:$E$73=$B48)*ISNUMBER('Fase de Grupos'!$F$2:$F$73)*ISNUMBER('Fase de Grupos'!$H$2:$H$73)*('Fase de Grupos'!$F$2:$F$73&lt;'Fase de Grupos'!$H$2:$H$73))+SUMPRODUCT(('Fase de Grupos'!$I$2:$I$73=$B48)*ISNUMBER('Fase de Grupos'!$F$2:$F$73)*ISNUMBER('Fase de Grupos'!$H$2:$H$73)*('Fase de Grupos'!$H$2:$H$73&lt;'Fase de Grupos'!$F$2:$F$73))</f>
        <v>2</v>
      </c>
      <c r="G48" s="2">
        <f>SUMPRODUCT(('Fase de Grupos'!$E$2:$E$73=$B48)*ISNUMBER('Fase de Grupos'!$F$2:$F$73)*ISNUMBER('Fase de Grupos'!$H$2:$H$73)*'Fase de Grupos'!$F$2:$F$73)+SUMPRODUCT(('Fase de Grupos'!$I$2:$I$73=$B48)*ISNUMBER('Fase de Grupos'!$F$2:$F$73)*ISNUMBER('Fase de Grupos'!$H$2:$H$73)*'Fase de Grupos'!$H$2:$H$73)</f>
        <v>4</v>
      </c>
      <c r="H48" s="2">
        <f>SUMPRODUCT(('Fase de Grupos'!$E$2:$E$73=$B48)*ISNUMBER('Fase de Grupos'!$F$2:$F$73)*ISNUMBER('Fase de Grupos'!$H$2:$H$73)*'Fase de Grupos'!$H$2:$H$73)+SUMPRODUCT(('Fase de Grupos'!$I$2:$I$73=$B48)*ISNUMBER('Fase de Grupos'!$F$2:$F$73)*ISNUMBER('Fase de Grupos'!$H$2:$H$73)*'Fase de Grupos'!$F$2:$F$73)</f>
        <v>10</v>
      </c>
      <c r="I48" s="2">
        <f>G48-H48</f>
        <v>-6</v>
      </c>
      <c r="J48" s="2">
        <f>D48*3+E48</f>
        <v>1</v>
      </c>
    </row>
    <row r="50" spans="1:10" ht="15.5" x14ac:dyDescent="0.35">
      <c r="A50" s="29" t="s">
        <v>130</v>
      </c>
      <c r="B50" s="30"/>
      <c r="C50" s="30"/>
      <c r="D50" s="30"/>
      <c r="E50" s="30"/>
      <c r="F50" s="30"/>
      <c r="G50" s="30"/>
      <c r="H50" s="30"/>
      <c r="I50" s="30"/>
      <c r="J50" s="31"/>
    </row>
    <row r="51" spans="1:10" x14ac:dyDescent="0.35">
      <c r="A51" s="1" t="s">
        <v>117</v>
      </c>
      <c r="B51" s="1" t="s">
        <v>118</v>
      </c>
      <c r="C51" s="1" t="s">
        <v>85</v>
      </c>
      <c r="D51" s="1" t="s">
        <v>119</v>
      </c>
      <c r="E51" s="1" t="s">
        <v>48</v>
      </c>
      <c r="F51" s="1" t="s">
        <v>26</v>
      </c>
      <c r="G51" s="1" t="s">
        <v>120</v>
      </c>
      <c r="H51" s="1" t="s">
        <v>121</v>
      </c>
      <c r="I51" s="1" t="s">
        <v>122</v>
      </c>
      <c r="J51" s="1" t="s">
        <v>123</v>
      </c>
    </row>
    <row r="52" spans="1:10" x14ac:dyDescent="0.35">
      <c r="A52" s="2">
        <v>1</v>
      </c>
      <c r="B52" s="3" t="s">
        <v>67</v>
      </c>
      <c r="C52" s="2">
        <f>SUMPRODUCT(('Fase de Grupos'!$E$2:$E$73=$B52)*ISNUMBER('Fase de Grupos'!$F$2:$F$73)*ISNUMBER('Fase de Grupos'!$H$2:$H$73))+SUMPRODUCT(('Fase de Grupos'!$I$2:$I$73=$B52)*ISNUMBER('Fase de Grupos'!$F$2:$F$73)*ISNUMBER('Fase de Grupos'!$H$2:$H$73))</f>
        <v>3</v>
      </c>
      <c r="D52" s="2">
        <f>SUMPRODUCT(('Fase de Grupos'!$E$2:$E$73=$B52)*ISNUMBER('Fase de Grupos'!$F$2:$F$73)*ISNUMBER('Fase de Grupos'!$H$2:$H$73)*('Fase de Grupos'!$F$2:$F$73&gt;'Fase de Grupos'!$H$2:$H$73))+SUMPRODUCT(('Fase de Grupos'!$I$2:$I$73=$B52)*ISNUMBER('Fase de Grupos'!$F$2:$F$73)*ISNUMBER('Fase de Grupos'!$H$2:$H$73)*('Fase de Grupos'!$H$2:$H$73&gt;'Fase de Grupos'!$F$2:$F$73))</f>
        <v>2</v>
      </c>
      <c r="E52" s="2">
        <f>SUMPRODUCT(('Fase de Grupos'!$E$2:$E$73=$B52)*ISNUMBER('Fase de Grupos'!$F$2:$F$73)*ISNUMBER('Fase de Grupos'!$H$2:$H$73)*('Fase de Grupos'!$F$2:$F$73='Fase de Grupos'!$H$2:$H$73))+SUMPRODUCT(('Fase de Grupos'!$I$2:$I$73=$B52)*ISNUMBER('Fase de Grupos'!$F$2:$F$73)*ISNUMBER('Fase de Grupos'!$H$2:$H$73)*('Fase de Grupos'!$F$2:$F$73='Fase de Grupos'!$H$2:$H$73))</f>
        <v>1</v>
      </c>
      <c r="F52" s="2">
        <f>SUMPRODUCT(('Fase de Grupos'!$E$2:$E$73=$B52)*ISNUMBER('Fase de Grupos'!$F$2:$F$73)*ISNUMBER('Fase de Grupos'!$H$2:$H$73)*('Fase de Grupos'!$F$2:$F$73&lt;'Fase de Grupos'!$H$2:$H$73))+SUMPRODUCT(('Fase de Grupos'!$I$2:$I$73=$B52)*ISNUMBER('Fase de Grupos'!$F$2:$F$73)*ISNUMBER('Fase de Grupos'!$H$2:$H$73)*('Fase de Grupos'!$H$2:$H$73&lt;'Fase de Grupos'!$F$2:$F$73))</f>
        <v>0</v>
      </c>
      <c r="G52" s="2">
        <f>SUMPRODUCT(('Fase de Grupos'!$E$2:$E$73=$B52)*ISNUMBER('Fase de Grupos'!$F$2:$F$73)*ISNUMBER('Fase de Grupos'!$H$2:$H$73)*'Fase de Grupos'!$F$2:$F$73)+SUMPRODUCT(('Fase de Grupos'!$I$2:$I$73=$B52)*ISNUMBER('Fase de Grupos'!$F$2:$F$73)*ISNUMBER('Fase de Grupos'!$H$2:$H$73)*'Fase de Grupos'!$H$2:$H$73)</f>
        <v>5</v>
      </c>
      <c r="H52" s="2">
        <f>SUMPRODUCT(('Fase de Grupos'!$E$2:$E$73=$B52)*ISNUMBER('Fase de Grupos'!$F$2:$F$73)*ISNUMBER('Fase de Grupos'!$H$2:$H$73)*'Fase de Grupos'!$H$2:$H$73)+SUMPRODUCT(('Fase de Grupos'!$I$2:$I$73=$B52)*ISNUMBER('Fase de Grupos'!$F$2:$F$73)*ISNUMBER('Fase de Grupos'!$H$2:$H$73)*'Fase de Grupos'!$F$2:$F$73)</f>
        <v>0</v>
      </c>
      <c r="I52" s="2">
        <f>G52-H52</f>
        <v>5</v>
      </c>
      <c r="J52" s="2">
        <f>D52*3+E52</f>
        <v>7</v>
      </c>
    </row>
    <row r="53" spans="1:10" x14ac:dyDescent="0.35">
      <c r="A53" s="2">
        <v>2</v>
      </c>
      <c r="B53" s="3" t="s">
        <v>68</v>
      </c>
      <c r="C53" s="2">
        <f>SUMPRODUCT(('Fase de Grupos'!$E$2:$E$73=$B53)*ISNUMBER('Fase de Grupos'!$F$2:$F$73)*ISNUMBER('Fase de Grupos'!$H$2:$H$73))+SUMPRODUCT(('Fase de Grupos'!$I$2:$I$73=$B53)*ISNUMBER('Fase de Grupos'!$F$2:$F$73)*ISNUMBER('Fase de Grupos'!$H$2:$H$73))</f>
        <v>3</v>
      </c>
      <c r="D53" s="2">
        <f>SUMPRODUCT(('Fase de Grupos'!$E$2:$E$73=$B53)*ISNUMBER('Fase de Grupos'!$F$2:$F$73)*ISNUMBER('Fase de Grupos'!$H$2:$H$73)*('Fase de Grupos'!$F$2:$F$73&gt;'Fase de Grupos'!$H$2:$H$73))+SUMPRODUCT(('Fase de Grupos'!$I$2:$I$73=$B53)*ISNUMBER('Fase de Grupos'!$F$2:$F$73)*ISNUMBER('Fase de Grupos'!$H$2:$H$73)*('Fase de Grupos'!$H$2:$H$73&gt;'Fase de Grupos'!$F$2:$F$73))</f>
        <v>0</v>
      </c>
      <c r="E53" s="2">
        <f>SUMPRODUCT(('Fase de Grupos'!$E$2:$E$73=$B53)*ISNUMBER('Fase de Grupos'!$F$2:$F$73)*ISNUMBER('Fase de Grupos'!$H$2:$H$73)*('Fase de Grupos'!$F$2:$F$73='Fase de Grupos'!$H$2:$H$73))+SUMPRODUCT(('Fase de Grupos'!$I$2:$I$73=$B53)*ISNUMBER('Fase de Grupos'!$F$2:$F$73)*ISNUMBER('Fase de Grupos'!$H$2:$H$73)*('Fase de Grupos'!$F$2:$F$73='Fase de Grupos'!$H$2:$H$73))</f>
        <v>3</v>
      </c>
      <c r="F53" s="2">
        <f>SUMPRODUCT(('Fase de Grupos'!$E$2:$E$73=$B53)*ISNUMBER('Fase de Grupos'!$F$2:$F$73)*ISNUMBER('Fase de Grupos'!$H$2:$H$73)*('Fase de Grupos'!$F$2:$F$73&lt;'Fase de Grupos'!$H$2:$H$73))+SUMPRODUCT(('Fase de Grupos'!$I$2:$I$73=$B53)*ISNUMBER('Fase de Grupos'!$F$2:$F$73)*ISNUMBER('Fase de Grupos'!$H$2:$H$73)*('Fase de Grupos'!$H$2:$H$73&lt;'Fase de Grupos'!$F$2:$F$73))</f>
        <v>0</v>
      </c>
      <c r="G53" s="2">
        <f>SUMPRODUCT(('Fase de Grupos'!$E$2:$E$73=$B53)*ISNUMBER('Fase de Grupos'!$F$2:$F$73)*ISNUMBER('Fase de Grupos'!$H$2:$H$73)*'Fase de Grupos'!$F$2:$F$73)+SUMPRODUCT(('Fase de Grupos'!$I$2:$I$73=$B53)*ISNUMBER('Fase de Grupos'!$F$2:$F$73)*ISNUMBER('Fase de Grupos'!$H$2:$H$73)*'Fase de Grupos'!$H$2:$H$73)</f>
        <v>2</v>
      </c>
      <c r="H53" s="2">
        <f>SUMPRODUCT(('Fase de Grupos'!$E$2:$E$73=$B53)*ISNUMBER('Fase de Grupos'!$F$2:$F$73)*ISNUMBER('Fase de Grupos'!$H$2:$H$73)*'Fase de Grupos'!$H$2:$H$73)+SUMPRODUCT(('Fase de Grupos'!$I$2:$I$73=$B53)*ISNUMBER('Fase de Grupos'!$F$2:$F$73)*ISNUMBER('Fase de Grupos'!$H$2:$H$73)*'Fase de Grupos'!$F$2:$F$73)</f>
        <v>2</v>
      </c>
      <c r="I53" s="2">
        <f>G53-H53</f>
        <v>0</v>
      </c>
      <c r="J53" s="2">
        <f>D53*3+E53</f>
        <v>3</v>
      </c>
    </row>
    <row r="54" spans="1:10" x14ac:dyDescent="0.35">
      <c r="A54" s="2">
        <v>3</v>
      </c>
      <c r="B54" s="3" t="s">
        <v>74</v>
      </c>
      <c r="C54" s="2">
        <f>SUMPRODUCT(('Fase de Grupos'!$E$2:$E$73=$B54)*ISNUMBER('Fase de Grupos'!$F$2:$F$73)*ISNUMBER('Fase de Grupos'!$H$2:$H$73))+SUMPRODUCT(('Fase de Grupos'!$I$2:$I$73=$B54)*ISNUMBER('Fase de Grupos'!$F$2:$F$73)*ISNUMBER('Fase de Grupos'!$H$2:$H$73))</f>
        <v>3</v>
      </c>
      <c r="D54" s="2">
        <f>SUMPRODUCT(('Fase de Grupos'!$E$2:$E$73=$B54)*ISNUMBER('Fase de Grupos'!$F$2:$F$73)*ISNUMBER('Fase de Grupos'!$H$2:$H$73)*('Fase de Grupos'!$F$2:$F$73&gt;'Fase de Grupos'!$H$2:$H$73))+SUMPRODUCT(('Fase de Grupos'!$I$2:$I$73=$B54)*ISNUMBER('Fase de Grupos'!$F$2:$F$73)*ISNUMBER('Fase de Grupos'!$H$2:$H$73)*('Fase de Grupos'!$H$2:$H$73&gt;'Fase de Grupos'!$F$2:$F$73))</f>
        <v>0</v>
      </c>
      <c r="E54" s="2">
        <f>SUMPRODUCT(('Fase de Grupos'!$E$2:$E$73=$B54)*ISNUMBER('Fase de Grupos'!$F$2:$F$73)*ISNUMBER('Fase de Grupos'!$H$2:$H$73)*('Fase de Grupos'!$F$2:$F$73='Fase de Grupos'!$H$2:$H$73))+SUMPRODUCT(('Fase de Grupos'!$I$2:$I$73=$B54)*ISNUMBER('Fase de Grupos'!$F$2:$F$73)*ISNUMBER('Fase de Grupos'!$H$2:$H$73)*('Fase de Grupos'!$F$2:$F$73='Fase de Grupos'!$H$2:$H$73))</f>
        <v>2</v>
      </c>
      <c r="F54" s="2">
        <f>SUMPRODUCT(('Fase de Grupos'!$E$2:$E$73=$B54)*ISNUMBER('Fase de Grupos'!$F$2:$F$73)*ISNUMBER('Fase de Grupos'!$H$2:$H$73)*('Fase de Grupos'!$F$2:$F$73&lt;'Fase de Grupos'!$H$2:$H$73))+SUMPRODUCT(('Fase de Grupos'!$I$2:$I$73=$B54)*ISNUMBER('Fase de Grupos'!$F$2:$F$73)*ISNUMBER('Fase de Grupos'!$H$2:$H$73)*('Fase de Grupos'!$H$2:$H$73&lt;'Fase de Grupos'!$F$2:$F$73))</f>
        <v>1</v>
      </c>
      <c r="G54" s="2">
        <f>SUMPRODUCT(('Fase de Grupos'!$E$2:$E$73=$B54)*ISNUMBER('Fase de Grupos'!$F$2:$F$73)*ISNUMBER('Fase de Grupos'!$H$2:$H$73)*'Fase de Grupos'!$F$2:$F$73)+SUMPRODUCT(('Fase de Grupos'!$I$2:$I$73=$B54)*ISNUMBER('Fase de Grupos'!$F$2:$F$73)*ISNUMBER('Fase de Grupos'!$H$2:$H$73)*'Fase de Grupos'!$H$2:$H$73)</f>
        <v>1</v>
      </c>
      <c r="H54" s="2">
        <f>SUMPRODUCT(('Fase de Grupos'!$E$2:$E$73=$B54)*ISNUMBER('Fase de Grupos'!$F$2:$F$73)*ISNUMBER('Fase de Grupos'!$H$2:$H$73)*'Fase de Grupos'!$H$2:$H$73)+SUMPRODUCT(('Fase de Grupos'!$I$2:$I$73=$B54)*ISNUMBER('Fase de Grupos'!$F$2:$F$73)*ISNUMBER('Fase de Grupos'!$H$2:$H$73)*'Fase de Grupos'!$F$2:$F$73)</f>
        <v>5</v>
      </c>
      <c r="I54" s="2">
        <f>G54-H54</f>
        <v>-4</v>
      </c>
      <c r="J54" s="2">
        <f>D54*3+E54</f>
        <v>2</v>
      </c>
    </row>
    <row r="55" spans="1:10" x14ac:dyDescent="0.35">
      <c r="A55" s="2">
        <v>4</v>
      </c>
      <c r="B55" s="3" t="s">
        <v>75</v>
      </c>
      <c r="C55" s="2">
        <f>SUMPRODUCT(('Fase de Grupos'!$E$2:$E$73=$B55)*ISNUMBER('Fase de Grupos'!$F$2:$F$73)*ISNUMBER('Fase de Grupos'!$H$2:$H$73))+SUMPRODUCT(('Fase de Grupos'!$I$2:$I$73=$B55)*ISNUMBER('Fase de Grupos'!$F$2:$F$73)*ISNUMBER('Fase de Grupos'!$H$2:$H$73))</f>
        <v>3</v>
      </c>
      <c r="D55" s="2">
        <f>SUMPRODUCT(('Fase de Grupos'!$E$2:$E$73=$B55)*ISNUMBER('Fase de Grupos'!$F$2:$F$73)*ISNUMBER('Fase de Grupos'!$H$2:$H$73)*('Fase de Grupos'!$F$2:$F$73&gt;'Fase de Grupos'!$H$2:$H$73))+SUMPRODUCT(('Fase de Grupos'!$I$2:$I$73=$B55)*ISNUMBER('Fase de Grupos'!$F$2:$F$73)*ISNUMBER('Fase de Grupos'!$H$2:$H$73)*('Fase de Grupos'!$H$2:$H$73&gt;'Fase de Grupos'!$F$2:$F$73))</f>
        <v>0</v>
      </c>
      <c r="E55" s="2">
        <f>SUMPRODUCT(('Fase de Grupos'!$E$2:$E$73=$B55)*ISNUMBER('Fase de Grupos'!$F$2:$F$73)*ISNUMBER('Fase de Grupos'!$H$2:$H$73)*('Fase de Grupos'!$F$2:$F$73='Fase de Grupos'!$H$2:$H$73))+SUMPRODUCT(('Fase de Grupos'!$I$2:$I$73=$B55)*ISNUMBER('Fase de Grupos'!$F$2:$F$73)*ISNUMBER('Fase de Grupos'!$H$2:$H$73)*('Fase de Grupos'!$F$2:$F$73='Fase de Grupos'!$H$2:$H$73))</f>
        <v>2</v>
      </c>
      <c r="F55" s="2">
        <f>SUMPRODUCT(('Fase de Grupos'!$E$2:$E$73=$B55)*ISNUMBER('Fase de Grupos'!$F$2:$F$73)*ISNUMBER('Fase de Grupos'!$H$2:$H$73)*('Fase de Grupos'!$F$2:$F$73&lt;'Fase de Grupos'!$H$2:$H$73))+SUMPRODUCT(('Fase de Grupos'!$I$2:$I$73=$B55)*ISNUMBER('Fase de Grupos'!$F$2:$F$73)*ISNUMBER('Fase de Grupos'!$H$2:$H$73)*('Fase de Grupos'!$H$2:$H$73&lt;'Fase de Grupos'!$F$2:$F$73))</f>
        <v>1</v>
      </c>
      <c r="G55" s="2">
        <f>SUMPRODUCT(('Fase de Grupos'!$E$2:$E$73=$B55)*ISNUMBER('Fase de Grupos'!$F$2:$F$73)*ISNUMBER('Fase de Grupos'!$H$2:$H$73)*'Fase de Grupos'!$F$2:$F$73)+SUMPRODUCT(('Fase de Grupos'!$I$2:$I$73=$B55)*ISNUMBER('Fase de Grupos'!$F$2:$F$73)*ISNUMBER('Fase de Grupos'!$H$2:$H$73)*'Fase de Grupos'!$H$2:$H$73)</f>
        <v>3</v>
      </c>
      <c r="H55" s="2">
        <f>SUMPRODUCT(('Fase de Grupos'!$E$2:$E$73=$B55)*ISNUMBER('Fase de Grupos'!$F$2:$F$73)*ISNUMBER('Fase de Grupos'!$H$2:$H$73)*'Fase de Grupos'!$H$2:$H$73)+SUMPRODUCT(('Fase de Grupos'!$I$2:$I$73=$B55)*ISNUMBER('Fase de Grupos'!$F$2:$F$73)*ISNUMBER('Fase de Grupos'!$H$2:$H$73)*'Fase de Grupos'!$F$2:$F$73)</f>
        <v>4</v>
      </c>
      <c r="I55" s="2">
        <f>G55-H55</f>
        <v>-1</v>
      </c>
      <c r="J55" s="2">
        <f>D55*3+E55</f>
        <v>2</v>
      </c>
    </row>
    <row r="57" spans="1:10" ht="15.5" x14ac:dyDescent="0.35">
      <c r="A57" s="29" t="s">
        <v>131</v>
      </c>
      <c r="B57" s="30"/>
      <c r="C57" s="30"/>
      <c r="D57" s="30"/>
      <c r="E57" s="30"/>
      <c r="F57" s="30"/>
      <c r="G57" s="30"/>
      <c r="H57" s="30"/>
      <c r="I57" s="30"/>
      <c r="J57" s="31"/>
    </row>
    <row r="58" spans="1:10" x14ac:dyDescent="0.35">
      <c r="A58" s="1" t="s">
        <v>117</v>
      </c>
      <c r="B58" s="1" t="s">
        <v>118</v>
      </c>
      <c r="C58" s="1" t="s">
        <v>85</v>
      </c>
      <c r="D58" s="1" t="s">
        <v>119</v>
      </c>
      <c r="E58" s="1" t="s">
        <v>48</v>
      </c>
      <c r="F58" s="1" t="s">
        <v>26</v>
      </c>
      <c r="G58" s="1" t="s">
        <v>120</v>
      </c>
      <c r="H58" s="1" t="s">
        <v>121</v>
      </c>
      <c r="I58" s="1" t="s">
        <v>122</v>
      </c>
      <c r="J58" s="1" t="s">
        <v>123</v>
      </c>
    </row>
    <row r="59" spans="1:10" x14ac:dyDescent="0.35">
      <c r="A59" s="2">
        <v>1</v>
      </c>
      <c r="B59" s="3" t="s">
        <v>81</v>
      </c>
      <c r="C59" s="2">
        <f>SUMPRODUCT(('Fase de Grupos'!$E$2:$E$73=$B59)*ISNUMBER('Fase de Grupos'!$F$2:$F$73)*ISNUMBER('Fase de Grupos'!$H$2:$H$73))+SUMPRODUCT(('Fase de Grupos'!$I$2:$I$73=$B59)*ISNUMBER('Fase de Grupos'!$F$2:$F$73)*ISNUMBER('Fase de Grupos'!$H$2:$H$73))</f>
        <v>3</v>
      </c>
      <c r="D59" s="2">
        <f>SUMPRODUCT(('Fase de Grupos'!$E$2:$E$73=$B59)*ISNUMBER('Fase de Grupos'!$F$2:$F$73)*ISNUMBER('Fase de Grupos'!$H$2:$H$73)*('Fase de Grupos'!$F$2:$F$73&gt;'Fase de Grupos'!$H$2:$H$73))+SUMPRODUCT(('Fase de Grupos'!$I$2:$I$73=$B59)*ISNUMBER('Fase de Grupos'!$F$2:$F$73)*ISNUMBER('Fase de Grupos'!$H$2:$H$73)*('Fase de Grupos'!$H$2:$H$73&gt;'Fase de Grupos'!$F$2:$F$73))</f>
        <v>3</v>
      </c>
      <c r="E59" s="2">
        <f>SUMPRODUCT(('Fase de Grupos'!$E$2:$E$73=$B59)*ISNUMBER('Fase de Grupos'!$F$2:$F$73)*ISNUMBER('Fase de Grupos'!$H$2:$H$73)*('Fase de Grupos'!$F$2:$F$73='Fase de Grupos'!$H$2:$H$73))+SUMPRODUCT(('Fase de Grupos'!$I$2:$I$73=$B59)*ISNUMBER('Fase de Grupos'!$F$2:$F$73)*ISNUMBER('Fase de Grupos'!$H$2:$H$73)*('Fase de Grupos'!$F$2:$F$73='Fase de Grupos'!$H$2:$H$73))</f>
        <v>0</v>
      </c>
      <c r="F59" s="2">
        <f>SUMPRODUCT(('Fase de Grupos'!$E$2:$E$73=$B59)*ISNUMBER('Fase de Grupos'!$F$2:$F$73)*ISNUMBER('Fase de Grupos'!$H$2:$H$73)*('Fase de Grupos'!$F$2:$F$73&lt;'Fase de Grupos'!$H$2:$H$73))+SUMPRODUCT(('Fase de Grupos'!$I$2:$I$73=$B59)*ISNUMBER('Fase de Grupos'!$F$2:$F$73)*ISNUMBER('Fase de Grupos'!$H$2:$H$73)*('Fase de Grupos'!$H$2:$H$73&lt;'Fase de Grupos'!$F$2:$F$73))</f>
        <v>0</v>
      </c>
      <c r="G59" s="2">
        <f>SUMPRODUCT(('Fase de Grupos'!$E$2:$E$73=$B59)*ISNUMBER('Fase de Grupos'!$F$2:$F$73)*ISNUMBER('Fase de Grupos'!$H$2:$H$73)*'Fase de Grupos'!$F$2:$F$73)+SUMPRODUCT(('Fase de Grupos'!$I$2:$I$73=$B59)*ISNUMBER('Fase de Grupos'!$F$2:$F$73)*ISNUMBER('Fase de Grupos'!$H$2:$H$73)*'Fase de Grupos'!$H$2:$H$73)</f>
        <v>10</v>
      </c>
      <c r="H59" s="2">
        <f>SUMPRODUCT(('Fase de Grupos'!$E$2:$E$73=$B59)*ISNUMBER('Fase de Grupos'!$F$2:$F$73)*ISNUMBER('Fase de Grupos'!$H$2:$H$73)*'Fase de Grupos'!$H$2:$H$73)+SUMPRODUCT(('Fase de Grupos'!$I$2:$I$73=$B59)*ISNUMBER('Fase de Grupos'!$F$2:$F$73)*ISNUMBER('Fase de Grupos'!$H$2:$H$73)*'Fase de Grupos'!$F$2:$F$73)</f>
        <v>2</v>
      </c>
      <c r="I59" s="2">
        <f>G59-H59</f>
        <v>8</v>
      </c>
      <c r="J59" s="2">
        <f>D59*3+E59</f>
        <v>9</v>
      </c>
    </row>
    <row r="60" spans="1:10" x14ac:dyDescent="0.35">
      <c r="A60" s="2">
        <v>2</v>
      </c>
      <c r="B60" s="3" t="s">
        <v>82</v>
      </c>
      <c r="C60" s="2">
        <f>SUMPRODUCT(('Fase de Grupos'!$E$2:$E$73=$B60)*ISNUMBER('Fase de Grupos'!$F$2:$F$73)*ISNUMBER('Fase de Grupos'!$H$2:$H$73))+SUMPRODUCT(('Fase de Grupos'!$I$2:$I$73=$B60)*ISNUMBER('Fase de Grupos'!$F$2:$F$73)*ISNUMBER('Fase de Grupos'!$H$2:$H$73))</f>
        <v>3</v>
      </c>
      <c r="D60" s="2">
        <f>SUMPRODUCT(('Fase de Grupos'!$E$2:$E$73=$B60)*ISNUMBER('Fase de Grupos'!$F$2:$F$73)*ISNUMBER('Fase de Grupos'!$H$2:$H$73)*('Fase de Grupos'!$F$2:$F$73&gt;'Fase de Grupos'!$H$2:$H$73))+SUMPRODUCT(('Fase de Grupos'!$I$2:$I$73=$B60)*ISNUMBER('Fase de Grupos'!$F$2:$F$73)*ISNUMBER('Fase de Grupos'!$H$2:$H$73)*('Fase de Grupos'!$H$2:$H$73&gt;'Fase de Grupos'!$F$2:$F$73))</f>
        <v>1</v>
      </c>
      <c r="E60" s="2">
        <f>SUMPRODUCT(('Fase de Grupos'!$E$2:$E$73=$B60)*ISNUMBER('Fase de Grupos'!$F$2:$F$73)*ISNUMBER('Fase de Grupos'!$H$2:$H$73)*('Fase de Grupos'!$F$2:$F$73='Fase de Grupos'!$H$2:$H$73))+SUMPRODUCT(('Fase de Grupos'!$I$2:$I$73=$B60)*ISNUMBER('Fase de Grupos'!$F$2:$F$73)*ISNUMBER('Fase de Grupos'!$H$2:$H$73)*('Fase de Grupos'!$F$2:$F$73='Fase de Grupos'!$H$2:$H$73))</f>
        <v>0</v>
      </c>
      <c r="F60" s="2">
        <f>SUMPRODUCT(('Fase de Grupos'!$E$2:$E$73=$B60)*ISNUMBER('Fase de Grupos'!$F$2:$F$73)*ISNUMBER('Fase de Grupos'!$H$2:$H$73)*('Fase de Grupos'!$F$2:$F$73&lt;'Fase de Grupos'!$H$2:$H$73))+SUMPRODUCT(('Fase de Grupos'!$I$2:$I$73=$B60)*ISNUMBER('Fase de Grupos'!$F$2:$F$73)*ISNUMBER('Fase de Grupos'!$H$2:$H$73)*('Fase de Grupos'!$H$2:$H$73&lt;'Fase de Grupos'!$F$2:$F$73))</f>
        <v>2</v>
      </c>
      <c r="G60" s="2">
        <f>SUMPRODUCT(('Fase de Grupos'!$E$2:$E$73=$B60)*ISNUMBER('Fase de Grupos'!$F$2:$F$73)*ISNUMBER('Fase de Grupos'!$H$2:$H$73)*'Fase de Grupos'!$F$2:$F$73)+SUMPRODUCT(('Fase de Grupos'!$I$2:$I$73=$B60)*ISNUMBER('Fase de Grupos'!$F$2:$F$73)*ISNUMBER('Fase de Grupos'!$H$2:$H$73)*'Fase de Grupos'!$H$2:$H$73)</f>
        <v>8</v>
      </c>
      <c r="H60" s="2">
        <f>SUMPRODUCT(('Fase de Grupos'!$E$2:$E$73=$B60)*ISNUMBER('Fase de Grupos'!$F$2:$F$73)*ISNUMBER('Fase de Grupos'!$H$2:$H$73)*'Fase de Grupos'!$H$2:$H$73)+SUMPRODUCT(('Fase de Grupos'!$I$2:$I$73=$B60)*ISNUMBER('Fase de Grupos'!$F$2:$F$73)*ISNUMBER('Fase de Grupos'!$H$2:$H$73)*'Fase de Grupos'!$F$2:$F$73)</f>
        <v>6</v>
      </c>
      <c r="I60" s="2">
        <f>G60-H60</f>
        <v>2</v>
      </c>
      <c r="J60" s="2">
        <f>D60*3+E60</f>
        <v>3</v>
      </c>
    </row>
    <row r="61" spans="1:10" x14ac:dyDescent="0.35">
      <c r="A61" s="2">
        <v>3</v>
      </c>
      <c r="B61" s="3" t="s">
        <v>83</v>
      </c>
      <c r="C61" s="2">
        <f>SUMPRODUCT(('Fase de Grupos'!$E$2:$E$73=$B61)*ISNUMBER('Fase de Grupos'!$F$2:$F$73)*ISNUMBER('Fase de Grupos'!$H$2:$H$73))+SUMPRODUCT(('Fase de Grupos'!$I$2:$I$73=$B61)*ISNUMBER('Fase de Grupos'!$F$2:$F$73)*ISNUMBER('Fase de Grupos'!$H$2:$H$73))</f>
        <v>3</v>
      </c>
      <c r="D61" s="2">
        <f>SUMPRODUCT(('Fase de Grupos'!$E$2:$E$73=$B61)*ISNUMBER('Fase de Grupos'!$F$2:$F$73)*ISNUMBER('Fase de Grupos'!$H$2:$H$73)*('Fase de Grupos'!$F$2:$F$73&gt;'Fase de Grupos'!$H$2:$H$73))+SUMPRODUCT(('Fase de Grupos'!$I$2:$I$73=$B61)*ISNUMBER('Fase de Grupos'!$F$2:$F$73)*ISNUMBER('Fase de Grupos'!$H$2:$H$73)*('Fase de Grupos'!$H$2:$H$73&gt;'Fase de Grupos'!$F$2:$F$73))</f>
        <v>0</v>
      </c>
      <c r="E61" s="2">
        <f>SUMPRODUCT(('Fase de Grupos'!$E$2:$E$73=$B61)*ISNUMBER('Fase de Grupos'!$F$2:$F$73)*ISNUMBER('Fase de Grupos'!$H$2:$H$73)*('Fase de Grupos'!$F$2:$F$73='Fase de Grupos'!$H$2:$H$73))+SUMPRODUCT(('Fase de Grupos'!$I$2:$I$73=$B61)*ISNUMBER('Fase de Grupos'!$F$2:$F$73)*ISNUMBER('Fase de Grupos'!$H$2:$H$73)*('Fase de Grupos'!$F$2:$F$73='Fase de Grupos'!$H$2:$H$73))</f>
        <v>0</v>
      </c>
      <c r="F61" s="2">
        <f>SUMPRODUCT(('Fase de Grupos'!$E$2:$E$73=$B61)*ISNUMBER('Fase de Grupos'!$F$2:$F$73)*ISNUMBER('Fase de Grupos'!$H$2:$H$73)*('Fase de Grupos'!$F$2:$F$73&lt;'Fase de Grupos'!$H$2:$H$73))+SUMPRODUCT(('Fase de Grupos'!$I$2:$I$73=$B61)*ISNUMBER('Fase de Grupos'!$F$2:$F$73)*ISNUMBER('Fase de Grupos'!$H$2:$H$73)*('Fase de Grupos'!$H$2:$H$73&lt;'Fase de Grupos'!$F$2:$F$73))</f>
        <v>3</v>
      </c>
      <c r="G61" s="2">
        <f>SUMPRODUCT(('Fase de Grupos'!$E$2:$E$73=$B61)*ISNUMBER('Fase de Grupos'!$F$2:$F$73)*ISNUMBER('Fase de Grupos'!$H$2:$H$73)*'Fase de Grupos'!$F$2:$F$73)+SUMPRODUCT(('Fase de Grupos'!$I$2:$I$73=$B61)*ISNUMBER('Fase de Grupos'!$F$2:$F$73)*ISNUMBER('Fase de Grupos'!$H$2:$H$73)*'Fase de Grupos'!$H$2:$H$73)</f>
        <v>1</v>
      </c>
      <c r="H61" s="2">
        <f>SUMPRODUCT(('Fase de Grupos'!$E$2:$E$73=$B61)*ISNUMBER('Fase de Grupos'!$F$2:$F$73)*ISNUMBER('Fase de Grupos'!$H$2:$H$73)*'Fase de Grupos'!$H$2:$H$73)+SUMPRODUCT(('Fase de Grupos'!$I$2:$I$73=$B61)*ISNUMBER('Fase de Grupos'!$F$2:$F$73)*ISNUMBER('Fase de Grupos'!$H$2:$H$73)*'Fase de Grupos'!$F$2:$F$73)</f>
        <v>12</v>
      </c>
      <c r="I61" s="2">
        <f>G61-H61</f>
        <v>-11</v>
      </c>
      <c r="J61" s="2">
        <f>D61*3+E61</f>
        <v>0</v>
      </c>
    </row>
    <row r="62" spans="1:10" x14ac:dyDescent="0.35">
      <c r="A62" s="2">
        <v>4</v>
      </c>
      <c r="B62" s="3" t="s">
        <v>84</v>
      </c>
      <c r="C62" s="2">
        <f>SUMPRODUCT(('Fase de Grupos'!$E$2:$E$73=$B62)*ISNUMBER('Fase de Grupos'!$F$2:$F$73)*ISNUMBER('Fase de Grupos'!$H$2:$H$73))+SUMPRODUCT(('Fase de Grupos'!$I$2:$I$73=$B62)*ISNUMBER('Fase de Grupos'!$F$2:$F$73)*ISNUMBER('Fase de Grupos'!$H$2:$H$73))</f>
        <v>3</v>
      </c>
      <c r="D62" s="2">
        <f>SUMPRODUCT(('Fase de Grupos'!$E$2:$E$73=$B62)*ISNUMBER('Fase de Grupos'!$F$2:$F$73)*ISNUMBER('Fase de Grupos'!$H$2:$H$73)*('Fase de Grupos'!$F$2:$F$73&gt;'Fase de Grupos'!$H$2:$H$73))+SUMPRODUCT(('Fase de Grupos'!$I$2:$I$73=$B62)*ISNUMBER('Fase de Grupos'!$F$2:$F$73)*ISNUMBER('Fase de Grupos'!$H$2:$H$73)*('Fase de Grupos'!$H$2:$H$73&gt;'Fase de Grupos'!$F$2:$F$73))</f>
        <v>2</v>
      </c>
      <c r="E62" s="2">
        <f>SUMPRODUCT(('Fase de Grupos'!$E$2:$E$73=$B62)*ISNUMBER('Fase de Grupos'!$F$2:$F$73)*ISNUMBER('Fase de Grupos'!$H$2:$H$73)*('Fase de Grupos'!$F$2:$F$73='Fase de Grupos'!$H$2:$H$73))+SUMPRODUCT(('Fase de Grupos'!$I$2:$I$73=$B62)*ISNUMBER('Fase de Grupos'!$F$2:$F$73)*ISNUMBER('Fase de Grupos'!$H$2:$H$73)*('Fase de Grupos'!$F$2:$F$73='Fase de Grupos'!$H$2:$H$73))</f>
        <v>0</v>
      </c>
      <c r="F62" s="2">
        <f>SUMPRODUCT(('Fase de Grupos'!$E$2:$E$73=$B62)*ISNUMBER('Fase de Grupos'!$F$2:$F$73)*ISNUMBER('Fase de Grupos'!$H$2:$H$73)*('Fase de Grupos'!$F$2:$F$73&lt;'Fase de Grupos'!$H$2:$H$73))+SUMPRODUCT(('Fase de Grupos'!$I$2:$I$73=$B62)*ISNUMBER('Fase de Grupos'!$F$2:$F$73)*ISNUMBER('Fase de Grupos'!$H$2:$H$73)*('Fase de Grupos'!$H$2:$H$73&lt;'Fase de Grupos'!$F$2:$F$73))</f>
        <v>1</v>
      </c>
      <c r="G62" s="2">
        <f>SUMPRODUCT(('Fase de Grupos'!$E$2:$E$73=$B62)*ISNUMBER('Fase de Grupos'!$F$2:$F$73)*ISNUMBER('Fase de Grupos'!$H$2:$H$73)*'Fase de Grupos'!$F$2:$F$73)+SUMPRODUCT(('Fase de Grupos'!$I$2:$I$73=$B62)*ISNUMBER('Fase de Grupos'!$F$2:$F$73)*ISNUMBER('Fase de Grupos'!$H$2:$H$73)*'Fase de Grupos'!$H$2:$H$73)</f>
        <v>8</v>
      </c>
      <c r="H62" s="2">
        <f>SUMPRODUCT(('Fase de Grupos'!$E$2:$E$73=$B62)*ISNUMBER('Fase de Grupos'!$F$2:$F$73)*ISNUMBER('Fase de Grupos'!$H$2:$H$73)*'Fase de Grupos'!$H$2:$H$73)+SUMPRODUCT(('Fase de Grupos'!$I$2:$I$73=$B62)*ISNUMBER('Fase de Grupos'!$F$2:$F$73)*ISNUMBER('Fase de Grupos'!$H$2:$H$73)*'Fase de Grupos'!$F$2:$F$73)</f>
        <v>7</v>
      </c>
      <c r="I62" s="2">
        <f>G62-H62</f>
        <v>1</v>
      </c>
      <c r="J62" s="2">
        <f>D62*3+E62</f>
        <v>6</v>
      </c>
    </row>
    <row r="64" spans="1:10" ht="15.5" x14ac:dyDescent="0.35">
      <c r="A64" s="29" t="s">
        <v>132</v>
      </c>
      <c r="B64" s="30"/>
      <c r="C64" s="30"/>
      <c r="D64" s="30"/>
      <c r="E64" s="30"/>
      <c r="F64" s="30"/>
      <c r="G64" s="30"/>
      <c r="H64" s="30"/>
      <c r="I64" s="30"/>
      <c r="J64" s="31"/>
    </row>
    <row r="65" spans="1:10" x14ac:dyDescent="0.35">
      <c r="A65" s="1" t="s">
        <v>117</v>
      </c>
      <c r="B65" s="1" t="s">
        <v>118</v>
      </c>
      <c r="C65" s="1" t="s">
        <v>85</v>
      </c>
      <c r="D65" s="1" t="s">
        <v>119</v>
      </c>
      <c r="E65" s="1" t="s">
        <v>48</v>
      </c>
      <c r="F65" s="1" t="s">
        <v>26</v>
      </c>
      <c r="G65" s="1" t="s">
        <v>120</v>
      </c>
      <c r="H65" s="1" t="s">
        <v>121</v>
      </c>
      <c r="I65" s="1" t="s">
        <v>122</v>
      </c>
      <c r="J65" s="1" t="s">
        <v>123</v>
      </c>
    </row>
    <row r="66" spans="1:10" x14ac:dyDescent="0.35">
      <c r="A66" s="2">
        <v>1</v>
      </c>
      <c r="B66" s="3" t="s">
        <v>86</v>
      </c>
      <c r="C66" s="2">
        <f>SUMPRODUCT(('Fase de Grupos'!$E$2:$E$73=$B66)*ISNUMBER('Fase de Grupos'!$F$2:$F$73)*ISNUMBER('Fase de Grupos'!$H$2:$H$73))+SUMPRODUCT(('Fase de Grupos'!$I$2:$I$73=$B66)*ISNUMBER('Fase de Grupos'!$F$2:$F$73)*ISNUMBER('Fase de Grupos'!$H$2:$H$73))</f>
        <v>3</v>
      </c>
      <c r="D66" s="2">
        <f>SUMPRODUCT(('Fase de Grupos'!$E$2:$E$73=$B66)*ISNUMBER('Fase de Grupos'!$F$2:$F$73)*ISNUMBER('Fase de Grupos'!$H$2:$H$73)*('Fase de Grupos'!$F$2:$F$73&gt;'Fase de Grupos'!$H$2:$H$73))+SUMPRODUCT(('Fase de Grupos'!$I$2:$I$73=$B66)*ISNUMBER('Fase de Grupos'!$F$2:$F$73)*ISNUMBER('Fase de Grupos'!$H$2:$H$73)*('Fase de Grupos'!$H$2:$H$73&gt;'Fase de Grupos'!$F$2:$F$73))</f>
        <v>3</v>
      </c>
      <c r="E66" s="2">
        <f>SUMPRODUCT(('Fase de Grupos'!$E$2:$E$73=$B66)*ISNUMBER('Fase de Grupos'!$F$2:$F$73)*ISNUMBER('Fase de Grupos'!$H$2:$H$73)*('Fase de Grupos'!$F$2:$F$73='Fase de Grupos'!$H$2:$H$73))+SUMPRODUCT(('Fase de Grupos'!$I$2:$I$73=$B66)*ISNUMBER('Fase de Grupos'!$F$2:$F$73)*ISNUMBER('Fase de Grupos'!$H$2:$H$73)*('Fase de Grupos'!$F$2:$F$73='Fase de Grupos'!$H$2:$H$73))</f>
        <v>0</v>
      </c>
      <c r="F66" s="2">
        <f>SUMPRODUCT(('Fase de Grupos'!$E$2:$E$73=$B66)*ISNUMBER('Fase de Grupos'!$F$2:$F$73)*ISNUMBER('Fase de Grupos'!$H$2:$H$73)*('Fase de Grupos'!$F$2:$F$73&lt;'Fase de Grupos'!$H$2:$H$73))+SUMPRODUCT(('Fase de Grupos'!$I$2:$I$73=$B66)*ISNUMBER('Fase de Grupos'!$F$2:$F$73)*ISNUMBER('Fase de Grupos'!$H$2:$H$73)*('Fase de Grupos'!$H$2:$H$73&lt;'Fase de Grupos'!$F$2:$F$73))</f>
        <v>0</v>
      </c>
      <c r="G66" s="2">
        <f>SUMPRODUCT(('Fase de Grupos'!$E$2:$E$73=$B66)*ISNUMBER('Fase de Grupos'!$F$2:$F$73)*ISNUMBER('Fase de Grupos'!$H$2:$H$73)*'Fase de Grupos'!$F$2:$F$73)+SUMPRODUCT(('Fase de Grupos'!$I$2:$I$73=$B66)*ISNUMBER('Fase de Grupos'!$F$2:$F$73)*ISNUMBER('Fase de Grupos'!$H$2:$H$73)*'Fase de Grupos'!$H$2:$H$73)</f>
        <v>8</v>
      </c>
      <c r="H66" s="2">
        <f>SUMPRODUCT(('Fase de Grupos'!$E$2:$E$73=$B66)*ISNUMBER('Fase de Grupos'!$F$2:$F$73)*ISNUMBER('Fase de Grupos'!$H$2:$H$73)*'Fase de Grupos'!$H$2:$H$73)+SUMPRODUCT(('Fase de Grupos'!$I$2:$I$73=$B66)*ISNUMBER('Fase de Grupos'!$F$2:$F$73)*ISNUMBER('Fase de Grupos'!$H$2:$H$73)*'Fase de Grupos'!$F$2:$F$73)</f>
        <v>1</v>
      </c>
      <c r="I66" s="2">
        <f>G66-H66</f>
        <v>7</v>
      </c>
      <c r="J66" s="2">
        <f>D66*3+E66</f>
        <v>9</v>
      </c>
    </row>
    <row r="67" spans="1:10" x14ac:dyDescent="0.35">
      <c r="A67" s="2">
        <v>2</v>
      </c>
      <c r="B67" s="3" t="s">
        <v>87</v>
      </c>
      <c r="C67" s="2">
        <f>SUMPRODUCT(('Fase de Grupos'!$E$2:$E$73=$B67)*ISNUMBER('Fase de Grupos'!$F$2:$F$73)*ISNUMBER('Fase de Grupos'!$H$2:$H$73))+SUMPRODUCT(('Fase de Grupos'!$I$2:$I$73=$B67)*ISNUMBER('Fase de Grupos'!$F$2:$F$73)*ISNUMBER('Fase de Grupos'!$H$2:$H$73))</f>
        <v>3</v>
      </c>
      <c r="D67" s="2">
        <f>SUMPRODUCT(('Fase de Grupos'!$E$2:$E$73=$B67)*ISNUMBER('Fase de Grupos'!$F$2:$F$73)*ISNUMBER('Fase de Grupos'!$H$2:$H$73)*('Fase de Grupos'!$F$2:$F$73&gt;'Fase de Grupos'!$H$2:$H$73))+SUMPRODUCT(('Fase de Grupos'!$I$2:$I$73=$B67)*ISNUMBER('Fase de Grupos'!$F$2:$F$73)*ISNUMBER('Fase de Grupos'!$H$2:$H$73)*('Fase de Grupos'!$H$2:$H$73&gt;'Fase de Grupos'!$F$2:$F$73))</f>
        <v>1</v>
      </c>
      <c r="E67" s="2">
        <f>SUMPRODUCT(('Fase de Grupos'!$E$2:$E$73=$B67)*ISNUMBER('Fase de Grupos'!$F$2:$F$73)*ISNUMBER('Fase de Grupos'!$H$2:$H$73)*('Fase de Grupos'!$F$2:$F$73='Fase de Grupos'!$H$2:$H$73))+SUMPRODUCT(('Fase de Grupos'!$I$2:$I$73=$B67)*ISNUMBER('Fase de Grupos'!$F$2:$F$73)*ISNUMBER('Fase de Grupos'!$H$2:$H$73)*('Fase de Grupos'!$F$2:$F$73='Fase de Grupos'!$H$2:$H$73))</f>
        <v>1</v>
      </c>
      <c r="F67" s="2">
        <f>SUMPRODUCT(('Fase de Grupos'!$E$2:$E$73=$B67)*ISNUMBER('Fase de Grupos'!$F$2:$F$73)*ISNUMBER('Fase de Grupos'!$H$2:$H$73)*('Fase de Grupos'!$F$2:$F$73&lt;'Fase de Grupos'!$H$2:$H$73))+SUMPRODUCT(('Fase de Grupos'!$I$2:$I$73=$B67)*ISNUMBER('Fase de Grupos'!$F$2:$F$73)*ISNUMBER('Fase de Grupos'!$H$2:$H$73)*('Fase de Grupos'!$H$2:$H$73&lt;'Fase de Grupos'!$F$2:$F$73))</f>
        <v>1</v>
      </c>
      <c r="G67" s="2">
        <f>SUMPRODUCT(('Fase de Grupos'!$E$2:$E$73=$B67)*ISNUMBER('Fase de Grupos'!$F$2:$F$73)*ISNUMBER('Fase de Grupos'!$H$2:$H$73)*'Fase de Grupos'!$F$2:$F$73)+SUMPRODUCT(('Fase de Grupos'!$I$2:$I$73=$B67)*ISNUMBER('Fase de Grupos'!$F$2:$F$73)*ISNUMBER('Fase de Grupos'!$H$2:$H$73)*'Fase de Grupos'!$H$2:$H$73)</f>
        <v>5</v>
      </c>
      <c r="H67" s="2">
        <f>SUMPRODUCT(('Fase de Grupos'!$E$2:$E$73=$B67)*ISNUMBER('Fase de Grupos'!$F$2:$F$73)*ISNUMBER('Fase de Grupos'!$H$2:$H$73)*'Fase de Grupos'!$H$2:$H$73)+SUMPRODUCT(('Fase de Grupos'!$I$2:$I$73=$B67)*ISNUMBER('Fase de Grupos'!$F$2:$F$73)*ISNUMBER('Fase de Grupos'!$H$2:$H$73)*'Fase de Grupos'!$F$2:$F$73)</f>
        <v>7</v>
      </c>
      <c r="I67" s="2">
        <f>G67-H67</f>
        <v>-2</v>
      </c>
      <c r="J67" s="2">
        <f>D67*3+E67</f>
        <v>4</v>
      </c>
    </row>
    <row r="68" spans="1:10" x14ac:dyDescent="0.35">
      <c r="A68" s="2">
        <v>3</v>
      </c>
      <c r="B68" s="3" t="s">
        <v>90</v>
      </c>
      <c r="C68" s="2">
        <f>SUMPRODUCT(('Fase de Grupos'!$E$2:$E$73=$B68)*ISNUMBER('Fase de Grupos'!$F$2:$F$73)*ISNUMBER('Fase de Grupos'!$H$2:$H$73))+SUMPRODUCT(('Fase de Grupos'!$I$2:$I$73=$B68)*ISNUMBER('Fase de Grupos'!$F$2:$F$73)*ISNUMBER('Fase de Grupos'!$H$2:$H$73))</f>
        <v>3</v>
      </c>
      <c r="D68" s="2">
        <f>SUMPRODUCT(('Fase de Grupos'!$E$2:$E$73=$B68)*ISNUMBER('Fase de Grupos'!$F$2:$F$73)*ISNUMBER('Fase de Grupos'!$H$2:$H$73)*('Fase de Grupos'!$F$2:$F$73&gt;'Fase de Grupos'!$H$2:$H$73))+SUMPRODUCT(('Fase de Grupos'!$I$2:$I$73=$B68)*ISNUMBER('Fase de Grupos'!$F$2:$F$73)*ISNUMBER('Fase de Grupos'!$H$2:$H$73)*('Fase de Grupos'!$H$2:$H$73&gt;'Fase de Grupos'!$F$2:$F$73))</f>
        <v>1</v>
      </c>
      <c r="E68" s="2">
        <f>SUMPRODUCT(('Fase de Grupos'!$E$2:$E$73=$B68)*ISNUMBER('Fase de Grupos'!$F$2:$F$73)*ISNUMBER('Fase de Grupos'!$H$2:$H$73)*('Fase de Grupos'!$F$2:$F$73='Fase de Grupos'!$H$2:$H$73))+SUMPRODUCT(('Fase de Grupos'!$I$2:$I$73=$B68)*ISNUMBER('Fase de Grupos'!$F$2:$F$73)*ISNUMBER('Fase de Grupos'!$H$2:$H$73)*('Fase de Grupos'!$F$2:$F$73='Fase de Grupos'!$H$2:$H$73))</f>
        <v>1</v>
      </c>
      <c r="F68" s="2">
        <f>SUMPRODUCT(('Fase de Grupos'!$E$2:$E$73=$B68)*ISNUMBER('Fase de Grupos'!$F$2:$F$73)*ISNUMBER('Fase de Grupos'!$H$2:$H$73)*('Fase de Grupos'!$F$2:$F$73&lt;'Fase de Grupos'!$H$2:$H$73))+SUMPRODUCT(('Fase de Grupos'!$I$2:$I$73=$B68)*ISNUMBER('Fase de Grupos'!$F$2:$F$73)*ISNUMBER('Fase de Grupos'!$H$2:$H$73)*('Fase de Grupos'!$H$2:$H$73&lt;'Fase de Grupos'!$F$2:$F$73))</f>
        <v>1</v>
      </c>
      <c r="G68" s="2">
        <f>SUMPRODUCT(('Fase de Grupos'!$E$2:$E$73=$B68)*ISNUMBER('Fase de Grupos'!$F$2:$F$73)*ISNUMBER('Fase de Grupos'!$H$2:$H$73)*'Fase de Grupos'!$F$2:$F$73)+SUMPRODUCT(('Fase de Grupos'!$I$2:$I$73=$B68)*ISNUMBER('Fase de Grupos'!$F$2:$F$73)*ISNUMBER('Fase de Grupos'!$H$2:$H$73)*'Fase de Grupos'!$H$2:$H$73)</f>
        <v>6</v>
      </c>
      <c r="H68" s="2">
        <f>SUMPRODUCT(('Fase de Grupos'!$E$2:$E$73=$B68)*ISNUMBER('Fase de Grupos'!$F$2:$F$73)*ISNUMBER('Fase de Grupos'!$H$2:$H$73)*'Fase de Grupos'!$H$2:$H$73)+SUMPRODUCT(('Fase de Grupos'!$I$2:$I$73=$B68)*ISNUMBER('Fase de Grupos'!$F$2:$F$73)*ISNUMBER('Fase de Grupos'!$H$2:$H$73)*'Fase de Grupos'!$F$2:$F$73)</f>
        <v>6</v>
      </c>
      <c r="I68" s="2">
        <f>G68-H68</f>
        <v>0</v>
      </c>
      <c r="J68" s="2">
        <f>D68*3+E68</f>
        <v>4</v>
      </c>
    </row>
    <row r="69" spans="1:10" x14ac:dyDescent="0.35">
      <c r="A69" s="2">
        <v>4</v>
      </c>
      <c r="B69" s="3" t="s">
        <v>91</v>
      </c>
      <c r="C69" s="2">
        <f>SUMPRODUCT(('Fase de Grupos'!$E$2:$E$73=$B69)*ISNUMBER('Fase de Grupos'!$F$2:$F$73)*ISNUMBER('Fase de Grupos'!$H$2:$H$73))+SUMPRODUCT(('Fase de Grupos'!$I$2:$I$73=$B69)*ISNUMBER('Fase de Grupos'!$F$2:$F$73)*ISNUMBER('Fase de Grupos'!$H$2:$H$73))</f>
        <v>3</v>
      </c>
      <c r="D69" s="2">
        <f>SUMPRODUCT(('Fase de Grupos'!$E$2:$E$73=$B69)*ISNUMBER('Fase de Grupos'!$F$2:$F$73)*ISNUMBER('Fase de Grupos'!$H$2:$H$73)*('Fase de Grupos'!$F$2:$F$73&gt;'Fase de Grupos'!$H$2:$H$73))+SUMPRODUCT(('Fase de Grupos'!$I$2:$I$73=$B69)*ISNUMBER('Fase de Grupos'!$F$2:$F$73)*ISNUMBER('Fase de Grupos'!$H$2:$H$73)*('Fase de Grupos'!$H$2:$H$73&gt;'Fase de Grupos'!$F$2:$F$73))</f>
        <v>0</v>
      </c>
      <c r="E69" s="2">
        <f>SUMPRODUCT(('Fase de Grupos'!$E$2:$E$73=$B69)*ISNUMBER('Fase de Grupos'!$F$2:$F$73)*ISNUMBER('Fase de Grupos'!$H$2:$H$73)*('Fase de Grupos'!$F$2:$F$73='Fase de Grupos'!$H$2:$H$73))+SUMPRODUCT(('Fase de Grupos'!$I$2:$I$73=$B69)*ISNUMBER('Fase de Grupos'!$F$2:$F$73)*ISNUMBER('Fase de Grupos'!$H$2:$H$73)*('Fase de Grupos'!$F$2:$F$73='Fase de Grupos'!$H$2:$H$73))</f>
        <v>0</v>
      </c>
      <c r="F69" s="2">
        <f>SUMPRODUCT(('Fase de Grupos'!$E$2:$E$73=$B69)*ISNUMBER('Fase de Grupos'!$F$2:$F$73)*ISNUMBER('Fase de Grupos'!$H$2:$H$73)*('Fase de Grupos'!$F$2:$F$73&lt;'Fase de Grupos'!$H$2:$H$73))+SUMPRODUCT(('Fase de Grupos'!$I$2:$I$73=$B69)*ISNUMBER('Fase de Grupos'!$F$2:$F$73)*ISNUMBER('Fase de Grupos'!$H$2:$H$73)*('Fase de Grupos'!$H$2:$H$73&lt;'Fase de Grupos'!$F$2:$F$73))</f>
        <v>3</v>
      </c>
      <c r="G69" s="2">
        <f>SUMPRODUCT(('Fase de Grupos'!$E$2:$E$73=$B69)*ISNUMBER('Fase de Grupos'!$F$2:$F$73)*ISNUMBER('Fase de Grupos'!$H$2:$H$73)*'Fase de Grupos'!$F$2:$F$73)+SUMPRODUCT(('Fase de Grupos'!$I$2:$I$73=$B69)*ISNUMBER('Fase de Grupos'!$F$2:$F$73)*ISNUMBER('Fase de Grupos'!$H$2:$H$73)*'Fase de Grupos'!$H$2:$H$73)</f>
        <v>3</v>
      </c>
      <c r="H69" s="2">
        <f>SUMPRODUCT(('Fase de Grupos'!$E$2:$E$73=$B69)*ISNUMBER('Fase de Grupos'!$F$2:$F$73)*ISNUMBER('Fase de Grupos'!$H$2:$H$73)*'Fase de Grupos'!$H$2:$H$73)+SUMPRODUCT(('Fase de Grupos'!$I$2:$I$73=$B69)*ISNUMBER('Fase de Grupos'!$F$2:$F$73)*ISNUMBER('Fase de Grupos'!$H$2:$H$73)*'Fase de Grupos'!$F$2:$F$73)</f>
        <v>8</v>
      </c>
      <c r="I69" s="2">
        <f>G69-H69</f>
        <v>-5</v>
      </c>
      <c r="J69" s="2">
        <f>D69*3+E69</f>
        <v>0</v>
      </c>
    </row>
    <row r="71" spans="1:10" ht="15.5" x14ac:dyDescent="0.35">
      <c r="A71" s="29" t="s">
        <v>133</v>
      </c>
      <c r="B71" s="30"/>
      <c r="C71" s="30"/>
      <c r="D71" s="30"/>
      <c r="E71" s="30"/>
      <c r="F71" s="30"/>
      <c r="G71" s="30"/>
      <c r="H71" s="30"/>
      <c r="I71" s="30"/>
      <c r="J71" s="31"/>
    </row>
    <row r="72" spans="1:10" x14ac:dyDescent="0.35">
      <c r="A72" s="1" t="s">
        <v>117</v>
      </c>
      <c r="B72" s="1" t="s">
        <v>118</v>
      </c>
      <c r="C72" s="1" t="s">
        <v>85</v>
      </c>
      <c r="D72" s="1" t="s">
        <v>119</v>
      </c>
      <c r="E72" s="1" t="s">
        <v>48</v>
      </c>
      <c r="F72" s="1" t="s">
        <v>26</v>
      </c>
      <c r="G72" s="1" t="s">
        <v>120</v>
      </c>
      <c r="H72" s="1" t="s">
        <v>121</v>
      </c>
      <c r="I72" s="1" t="s">
        <v>122</v>
      </c>
      <c r="J72" s="1" t="s">
        <v>123</v>
      </c>
    </row>
    <row r="73" spans="1:10" x14ac:dyDescent="0.35">
      <c r="A73" s="2">
        <v>1</v>
      </c>
      <c r="B73" s="3" t="s">
        <v>93</v>
      </c>
      <c r="C73" s="2">
        <f>SUMPRODUCT(('Fase de Grupos'!$E$2:$E$73=$B73)*ISNUMBER('Fase de Grupos'!$F$2:$F$73)*ISNUMBER('Fase de Grupos'!$H$2:$H$73))+SUMPRODUCT(('Fase de Grupos'!$I$2:$I$73=$B73)*ISNUMBER('Fase de Grupos'!$F$2:$F$73)*ISNUMBER('Fase de Grupos'!$H$2:$H$73))</f>
        <v>3</v>
      </c>
      <c r="D73" s="2">
        <f>SUMPRODUCT(('Fase de Grupos'!$E$2:$E$73=$B73)*ISNUMBER('Fase de Grupos'!$F$2:$F$73)*ISNUMBER('Fase de Grupos'!$H$2:$H$73)*('Fase de Grupos'!$F$2:$F$73&gt;'Fase de Grupos'!$H$2:$H$73))+SUMPRODUCT(('Fase de Grupos'!$I$2:$I$73=$B73)*ISNUMBER('Fase de Grupos'!$F$2:$F$73)*ISNUMBER('Fase de Grupos'!$H$2:$H$73)*('Fase de Grupos'!$H$2:$H$73&gt;'Fase de Grupos'!$F$2:$F$73))</f>
        <v>1</v>
      </c>
      <c r="E73" s="2">
        <f>SUMPRODUCT(('Fase de Grupos'!$E$2:$E$73=$B73)*ISNUMBER('Fase de Grupos'!$F$2:$F$73)*ISNUMBER('Fase de Grupos'!$H$2:$H$73)*('Fase de Grupos'!$F$2:$F$73='Fase de Grupos'!$H$2:$H$73))+SUMPRODUCT(('Fase de Grupos'!$I$2:$I$73=$B73)*ISNUMBER('Fase de Grupos'!$F$2:$F$73)*ISNUMBER('Fase de Grupos'!$H$2:$H$73)*('Fase de Grupos'!$F$2:$F$73='Fase de Grupos'!$H$2:$H$73))</f>
        <v>2</v>
      </c>
      <c r="F73" s="2">
        <f>SUMPRODUCT(('Fase de Grupos'!$E$2:$E$73=$B73)*ISNUMBER('Fase de Grupos'!$F$2:$F$73)*ISNUMBER('Fase de Grupos'!$H$2:$H$73)*('Fase de Grupos'!$F$2:$F$73&lt;'Fase de Grupos'!$H$2:$H$73))+SUMPRODUCT(('Fase de Grupos'!$I$2:$I$73=$B73)*ISNUMBER('Fase de Grupos'!$F$2:$F$73)*ISNUMBER('Fase de Grupos'!$H$2:$H$73)*('Fase de Grupos'!$H$2:$H$73&lt;'Fase de Grupos'!$F$2:$F$73))</f>
        <v>0</v>
      </c>
      <c r="G73" s="2">
        <f>SUMPRODUCT(('Fase de Grupos'!$E$2:$E$73=$B73)*ISNUMBER('Fase de Grupos'!$F$2:$F$73)*ISNUMBER('Fase de Grupos'!$H$2:$H$73)*'Fase de Grupos'!$F$2:$F$73)+SUMPRODUCT(('Fase de Grupos'!$I$2:$I$73=$B73)*ISNUMBER('Fase de Grupos'!$F$2:$F$73)*ISNUMBER('Fase de Grupos'!$H$2:$H$73)*'Fase de Grupos'!$H$2:$H$73)</f>
        <v>6</v>
      </c>
      <c r="H73" s="2">
        <f>SUMPRODUCT(('Fase de Grupos'!$E$2:$E$73=$B73)*ISNUMBER('Fase de Grupos'!$F$2:$F$73)*ISNUMBER('Fase de Grupos'!$H$2:$H$73)*'Fase de Grupos'!$H$2:$H$73)+SUMPRODUCT(('Fase de Grupos'!$I$2:$I$73=$B73)*ISNUMBER('Fase de Grupos'!$F$2:$F$73)*ISNUMBER('Fase de Grupos'!$H$2:$H$73)*'Fase de Grupos'!$F$2:$F$73)</f>
        <v>1</v>
      </c>
      <c r="I73" s="2">
        <f>G73-H73</f>
        <v>5</v>
      </c>
      <c r="J73" s="2">
        <f>D73*3+E73</f>
        <v>5</v>
      </c>
    </row>
    <row r="74" spans="1:10" x14ac:dyDescent="0.35">
      <c r="A74" s="2">
        <v>2</v>
      </c>
      <c r="B74" s="3" t="s">
        <v>94</v>
      </c>
      <c r="C74" s="2">
        <f>SUMPRODUCT(('Fase de Grupos'!$E$2:$E$73=$B74)*ISNUMBER('Fase de Grupos'!$F$2:$F$73)*ISNUMBER('Fase de Grupos'!$H$2:$H$73))+SUMPRODUCT(('Fase de Grupos'!$I$2:$I$73=$B74)*ISNUMBER('Fase de Grupos'!$F$2:$F$73)*ISNUMBER('Fase de Grupos'!$H$2:$H$73))</f>
        <v>3</v>
      </c>
      <c r="D74" s="2">
        <f>SUMPRODUCT(('Fase de Grupos'!$E$2:$E$73=$B74)*ISNUMBER('Fase de Grupos'!$F$2:$F$73)*ISNUMBER('Fase de Grupos'!$H$2:$H$73)*('Fase de Grupos'!$F$2:$F$73&gt;'Fase de Grupos'!$H$2:$H$73))+SUMPRODUCT(('Fase de Grupos'!$I$2:$I$73=$B74)*ISNUMBER('Fase de Grupos'!$F$2:$F$73)*ISNUMBER('Fase de Grupos'!$H$2:$H$73)*('Fase de Grupos'!$H$2:$H$73&gt;'Fase de Grupos'!$F$2:$F$73))</f>
        <v>1</v>
      </c>
      <c r="E74" s="2">
        <f>SUMPRODUCT(('Fase de Grupos'!$E$2:$E$73=$B74)*ISNUMBER('Fase de Grupos'!$F$2:$F$73)*ISNUMBER('Fase de Grupos'!$H$2:$H$73)*('Fase de Grupos'!$F$2:$F$73='Fase de Grupos'!$H$2:$H$73))+SUMPRODUCT(('Fase de Grupos'!$I$2:$I$73=$B74)*ISNUMBER('Fase de Grupos'!$F$2:$F$73)*ISNUMBER('Fase de Grupos'!$H$2:$H$73)*('Fase de Grupos'!$F$2:$F$73='Fase de Grupos'!$H$2:$H$73))</f>
        <v>1</v>
      </c>
      <c r="F74" s="2">
        <f>SUMPRODUCT(('Fase de Grupos'!$E$2:$E$73=$B74)*ISNUMBER('Fase de Grupos'!$F$2:$F$73)*ISNUMBER('Fase de Grupos'!$H$2:$H$73)*('Fase de Grupos'!$F$2:$F$73&lt;'Fase de Grupos'!$H$2:$H$73))+SUMPRODUCT(('Fase de Grupos'!$I$2:$I$73=$B74)*ISNUMBER('Fase de Grupos'!$F$2:$F$73)*ISNUMBER('Fase de Grupos'!$H$2:$H$73)*('Fase de Grupos'!$H$2:$H$73&lt;'Fase de Grupos'!$F$2:$F$73))</f>
        <v>1</v>
      </c>
      <c r="G74" s="2">
        <f>SUMPRODUCT(('Fase de Grupos'!$E$2:$E$73=$B74)*ISNUMBER('Fase de Grupos'!$F$2:$F$73)*ISNUMBER('Fase de Grupos'!$H$2:$H$73)*'Fase de Grupos'!$F$2:$F$73)+SUMPRODUCT(('Fase de Grupos'!$I$2:$I$73=$B74)*ISNUMBER('Fase de Grupos'!$F$2:$F$73)*ISNUMBER('Fase de Grupos'!$H$2:$H$73)*'Fase de Grupos'!$H$2:$H$73)</f>
        <v>4</v>
      </c>
      <c r="H74" s="2">
        <f>SUMPRODUCT(('Fase de Grupos'!$E$2:$E$73=$B74)*ISNUMBER('Fase de Grupos'!$F$2:$F$73)*ISNUMBER('Fase de Grupos'!$H$2:$H$73)*'Fase de Grupos'!$H$2:$H$73)+SUMPRODUCT(('Fase de Grupos'!$I$2:$I$73=$B74)*ISNUMBER('Fase de Grupos'!$F$2:$F$73)*ISNUMBER('Fase de Grupos'!$H$2:$H$73)*'Fase de Grupos'!$F$2:$F$73)</f>
        <v>3</v>
      </c>
      <c r="I74" s="2">
        <f>G74-H74</f>
        <v>1</v>
      </c>
      <c r="J74" s="2">
        <f>D74*3+E74</f>
        <v>4</v>
      </c>
    </row>
    <row r="75" spans="1:10" x14ac:dyDescent="0.35">
      <c r="A75" s="2">
        <v>3</v>
      </c>
      <c r="B75" s="3" t="s">
        <v>100</v>
      </c>
      <c r="C75" s="2">
        <f>SUMPRODUCT(('Fase de Grupos'!$E$2:$E$73=$B75)*ISNUMBER('Fase de Grupos'!$F$2:$F$73)*ISNUMBER('Fase de Grupos'!$H$2:$H$73))+SUMPRODUCT(('Fase de Grupos'!$I$2:$I$73=$B75)*ISNUMBER('Fase de Grupos'!$F$2:$F$73)*ISNUMBER('Fase de Grupos'!$H$2:$H$73))</f>
        <v>3</v>
      </c>
      <c r="D75" s="2">
        <f>SUMPRODUCT(('Fase de Grupos'!$E$2:$E$73=$B75)*ISNUMBER('Fase de Grupos'!$F$2:$F$73)*ISNUMBER('Fase de Grupos'!$H$2:$H$73)*('Fase de Grupos'!$F$2:$F$73&gt;'Fase de Grupos'!$H$2:$H$73))+SUMPRODUCT(('Fase de Grupos'!$I$2:$I$73=$B75)*ISNUMBER('Fase de Grupos'!$F$2:$F$73)*ISNUMBER('Fase de Grupos'!$H$2:$H$73)*('Fase de Grupos'!$H$2:$H$73&gt;'Fase de Grupos'!$F$2:$F$73))</f>
        <v>0</v>
      </c>
      <c r="E75" s="2">
        <f>SUMPRODUCT(('Fase de Grupos'!$E$2:$E$73=$B75)*ISNUMBER('Fase de Grupos'!$F$2:$F$73)*ISNUMBER('Fase de Grupos'!$H$2:$H$73)*('Fase de Grupos'!$F$2:$F$73='Fase de Grupos'!$H$2:$H$73))+SUMPRODUCT(('Fase de Grupos'!$I$2:$I$73=$B75)*ISNUMBER('Fase de Grupos'!$F$2:$F$73)*ISNUMBER('Fase de Grupos'!$H$2:$H$73)*('Fase de Grupos'!$F$2:$F$73='Fase de Grupos'!$H$2:$H$73))</f>
        <v>0</v>
      </c>
      <c r="F75" s="2">
        <f>SUMPRODUCT(('Fase de Grupos'!$E$2:$E$73=$B75)*ISNUMBER('Fase de Grupos'!$F$2:$F$73)*ISNUMBER('Fase de Grupos'!$H$2:$H$73)*('Fase de Grupos'!$F$2:$F$73&lt;'Fase de Grupos'!$H$2:$H$73))+SUMPRODUCT(('Fase de Grupos'!$I$2:$I$73=$B75)*ISNUMBER('Fase de Grupos'!$F$2:$F$73)*ISNUMBER('Fase de Grupos'!$H$2:$H$73)*('Fase de Grupos'!$H$2:$H$73&lt;'Fase de Grupos'!$F$2:$F$73))</f>
        <v>3</v>
      </c>
      <c r="G75" s="2">
        <f>SUMPRODUCT(('Fase de Grupos'!$E$2:$E$73=$B75)*ISNUMBER('Fase de Grupos'!$F$2:$F$73)*ISNUMBER('Fase de Grupos'!$H$2:$H$73)*'Fase de Grupos'!$F$2:$F$73)+SUMPRODUCT(('Fase de Grupos'!$I$2:$I$73=$B75)*ISNUMBER('Fase de Grupos'!$F$2:$F$73)*ISNUMBER('Fase de Grupos'!$H$2:$H$73)*'Fase de Grupos'!$H$2:$H$73)</f>
        <v>2</v>
      </c>
      <c r="H75" s="2">
        <f>SUMPRODUCT(('Fase de Grupos'!$E$2:$E$73=$B75)*ISNUMBER('Fase de Grupos'!$F$2:$F$73)*ISNUMBER('Fase de Grupos'!$H$2:$H$73)*'Fase de Grupos'!$H$2:$H$73)+SUMPRODUCT(('Fase de Grupos'!$I$2:$I$73=$B75)*ISNUMBER('Fase de Grupos'!$F$2:$F$73)*ISNUMBER('Fase de Grupos'!$H$2:$H$73)*'Fase de Grupos'!$F$2:$F$73)</f>
        <v>11</v>
      </c>
      <c r="I75" s="2">
        <f>G75-H75</f>
        <v>-9</v>
      </c>
      <c r="J75" s="2">
        <f>D75*3+E75</f>
        <v>0</v>
      </c>
    </row>
    <row r="76" spans="1:10" x14ac:dyDescent="0.35">
      <c r="A76" s="2">
        <v>4</v>
      </c>
      <c r="B76" s="3" t="s">
        <v>101</v>
      </c>
      <c r="C76" s="2">
        <f>SUMPRODUCT(('Fase de Grupos'!$E$2:$E$73=$B76)*ISNUMBER('Fase de Grupos'!$F$2:$F$73)*ISNUMBER('Fase de Grupos'!$H$2:$H$73))+SUMPRODUCT(('Fase de Grupos'!$I$2:$I$73=$B76)*ISNUMBER('Fase de Grupos'!$F$2:$F$73)*ISNUMBER('Fase de Grupos'!$H$2:$H$73))</f>
        <v>3</v>
      </c>
      <c r="D76" s="2">
        <f>SUMPRODUCT(('Fase de Grupos'!$E$2:$E$73=$B76)*ISNUMBER('Fase de Grupos'!$F$2:$F$73)*ISNUMBER('Fase de Grupos'!$H$2:$H$73)*('Fase de Grupos'!$F$2:$F$73&gt;'Fase de Grupos'!$H$2:$H$73))+SUMPRODUCT(('Fase de Grupos'!$I$2:$I$73=$B76)*ISNUMBER('Fase de Grupos'!$F$2:$F$73)*ISNUMBER('Fase de Grupos'!$H$2:$H$73)*('Fase de Grupos'!$H$2:$H$73&gt;'Fase de Grupos'!$F$2:$F$73))</f>
        <v>2</v>
      </c>
      <c r="E76" s="2">
        <f>SUMPRODUCT(('Fase de Grupos'!$E$2:$E$73=$B76)*ISNUMBER('Fase de Grupos'!$F$2:$F$73)*ISNUMBER('Fase de Grupos'!$H$2:$H$73)*('Fase de Grupos'!$F$2:$F$73='Fase de Grupos'!$H$2:$H$73))+SUMPRODUCT(('Fase de Grupos'!$I$2:$I$73=$B76)*ISNUMBER('Fase de Grupos'!$F$2:$F$73)*ISNUMBER('Fase de Grupos'!$H$2:$H$73)*('Fase de Grupos'!$F$2:$F$73='Fase de Grupos'!$H$2:$H$73))</f>
        <v>1</v>
      </c>
      <c r="F76" s="2">
        <f>SUMPRODUCT(('Fase de Grupos'!$E$2:$E$73=$B76)*ISNUMBER('Fase de Grupos'!$F$2:$F$73)*ISNUMBER('Fase de Grupos'!$H$2:$H$73)*('Fase de Grupos'!$F$2:$F$73&lt;'Fase de Grupos'!$H$2:$H$73))+SUMPRODUCT(('Fase de Grupos'!$I$2:$I$73=$B76)*ISNUMBER('Fase de Grupos'!$F$2:$F$73)*ISNUMBER('Fase de Grupos'!$H$2:$H$73)*('Fase de Grupos'!$H$2:$H$73&lt;'Fase de Grupos'!$F$2:$F$73))</f>
        <v>0</v>
      </c>
      <c r="G76" s="2">
        <f>SUMPRODUCT(('Fase de Grupos'!$E$2:$E$73=$B76)*ISNUMBER('Fase de Grupos'!$F$2:$F$73)*ISNUMBER('Fase de Grupos'!$H$2:$H$73)*'Fase de Grupos'!$F$2:$F$73)+SUMPRODUCT(('Fase de Grupos'!$I$2:$I$73=$B76)*ISNUMBER('Fase de Grupos'!$F$2:$F$73)*ISNUMBER('Fase de Grupos'!$H$2:$H$73)*'Fase de Grupos'!$H$2:$H$73)</f>
        <v>4</v>
      </c>
      <c r="H76" s="2">
        <f>SUMPRODUCT(('Fase de Grupos'!$E$2:$E$73=$B76)*ISNUMBER('Fase de Grupos'!$F$2:$F$73)*ISNUMBER('Fase de Grupos'!$H$2:$H$73)*'Fase de Grupos'!$H$2:$H$73)+SUMPRODUCT(('Fase de Grupos'!$I$2:$I$73=$B76)*ISNUMBER('Fase de Grupos'!$F$2:$F$73)*ISNUMBER('Fase de Grupos'!$H$2:$H$73)*'Fase de Grupos'!$F$2:$F$73)</f>
        <v>1</v>
      </c>
      <c r="I76" s="2">
        <f>G76-H76</f>
        <v>3</v>
      </c>
      <c r="J76" s="2">
        <f>D76*3+E76</f>
        <v>7</v>
      </c>
    </row>
    <row r="78" spans="1:10" ht="15.5" x14ac:dyDescent="0.35">
      <c r="A78" s="29" t="s">
        <v>134</v>
      </c>
      <c r="B78" s="30"/>
      <c r="C78" s="30"/>
      <c r="D78" s="30"/>
      <c r="E78" s="30"/>
      <c r="F78" s="30"/>
      <c r="G78" s="30"/>
      <c r="H78" s="30"/>
      <c r="I78" s="30"/>
      <c r="J78" s="31"/>
    </row>
    <row r="79" spans="1:10" x14ac:dyDescent="0.35">
      <c r="A79" s="1" t="s">
        <v>117</v>
      </c>
      <c r="B79" s="1" t="s">
        <v>118</v>
      </c>
      <c r="C79" s="1" t="s">
        <v>85</v>
      </c>
      <c r="D79" s="1" t="s">
        <v>119</v>
      </c>
      <c r="E79" s="1" t="s">
        <v>48</v>
      </c>
      <c r="F79" s="1" t="s">
        <v>26</v>
      </c>
      <c r="G79" s="1" t="s">
        <v>120</v>
      </c>
      <c r="H79" s="1" t="s">
        <v>121</v>
      </c>
      <c r="I79" s="1" t="s">
        <v>122</v>
      </c>
      <c r="J79" s="1" t="s">
        <v>123</v>
      </c>
    </row>
    <row r="80" spans="1:10" x14ac:dyDescent="0.35">
      <c r="A80" s="2">
        <v>1</v>
      </c>
      <c r="B80" s="3" t="s">
        <v>96</v>
      </c>
      <c r="C80" s="2">
        <f>SUMPRODUCT(('Fase de Grupos'!$E$2:$E$73=$B80)*ISNUMBER('Fase de Grupos'!$F$2:$F$73)*ISNUMBER('Fase de Grupos'!$H$2:$H$73))+SUMPRODUCT(('Fase de Grupos'!$I$2:$I$73=$B80)*ISNUMBER('Fase de Grupos'!$F$2:$F$73)*ISNUMBER('Fase de Grupos'!$H$2:$H$73))</f>
        <v>3</v>
      </c>
      <c r="D80" s="2">
        <f>SUMPRODUCT(('Fase de Grupos'!$E$2:$E$73=$B80)*ISNUMBER('Fase de Grupos'!$F$2:$F$73)*ISNUMBER('Fase de Grupos'!$H$2:$H$73)*('Fase de Grupos'!$F$2:$F$73&gt;'Fase de Grupos'!$H$2:$H$73))+SUMPRODUCT(('Fase de Grupos'!$I$2:$I$73=$B80)*ISNUMBER('Fase de Grupos'!$F$2:$F$73)*ISNUMBER('Fase de Grupos'!$H$2:$H$73)*('Fase de Grupos'!$H$2:$H$73&gt;'Fase de Grupos'!$F$2:$F$73))</f>
        <v>2</v>
      </c>
      <c r="E80" s="2">
        <f>SUMPRODUCT(('Fase de Grupos'!$E$2:$E$73=$B80)*ISNUMBER('Fase de Grupos'!$F$2:$F$73)*ISNUMBER('Fase de Grupos'!$H$2:$H$73)*('Fase de Grupos'!$F$2:$F$73='Fase de Grupos'!$H$2:$H$73))+SUMPRODUCT(('Fase de Grupos'!$I$2:$I$73=$B80)*ISNUMBER('Fase de Grupos'!$F$2:$F$73)*ISNUMBER('Fase de Grupos'!$H$2:$H$73)*('Fase de Grupos'!$F$2:$F$73='Fase de Grupos'!$H$2:$H$73))</f>
        <v>1</v>
      </c>
      <c r="F80" s="2">
        <f>SUMPRODUCT(('Fase de Grupos'!$E$2:$E$73=$B80)*ISNUMBER('Fase de Grupos'!$F$2:$F$73)*ISNUMBER('Fase de Grupos'!$H$2:$H$73)*('Fase de Grupos'!$F$2:$F$73&lt;'Fase de Grupos'!$H$2:$H$73))+SUMPRODUCT(('Fase de Grupos'!$I$2:$I$73=$B80)*ISNUMBER('Fase de Grupos'!$F$2:$F$73)*ISNUMBER('Fase de Grupos'!$H$2:$H$73)*('Fase de Grupos'!$H$2:$H$73&lt;'Fase de Grupos'!$F$2:$F$73))</f>
        <v>0</v>
      </c>
      <c r="G80" s="2">
        <f>SUMPRODUCT(('Fase de Grupos'!$E$2:$E$73=$B80)*ISNUMBER('Fase de Grupos'!$F$2:$F$73)*ISNUMBER('Fase de Grupos'!$H$2:$H$73)*'Fase de Grupos'!$F$2:$F$73)+SUMPRODUCT(('Fase de Grupos'!$I$2:$I$73=$B80)*ISNUMBER('Fase de Grupos'!$F$2:$F$73)*ISNUMBER('Fase de Grupos'!$H$2:$H$73)*'Fase de Grupos'!$H$2:$H$73)</f>
        <v>6</v>
      </c>
      <c r="H80" s="2">
        <f>SUMPRODUCT(('Fase de Grupos'!$E$2:$E$73=$B80)*ISNUMBER('Fase de Grupos'!$F$2:$F$73)*ISNUMBER('Fase de Grupos'!$H$2:$H$73)*'Fase de Grupos'!$H$2:$H$73)+SUMPRODUCT(('Fase de Grupos'!$I$2:$I$73=$B80)*ISNUMBER('Fase de Grupos'!$F$2:$F$73)*ISNUMBER('Fase de Grupos'!$H$2:$H$73)*'Fase de Grupos'!$F$2:$F$73)</f>
        <v>2</v>
      </c>
      <c r="I80" s="2">
        <f>G80-H80</f>
        <v>4</v>
      </c>
      <c r="J80" s="2">
        <f>D80*3+E80</f>
        <v>7</v>
      </c>
    </row>
    <row r="81" spans="1:10" x14ac:dyDescent="0.35">
      <c r="A81" s="2">
        <v>2</v>
      </c>
      <c r="B81" s="3" t="s">
        <v>97</v>
      </c>
      <c r="C81" s="2">
        <f>SUMPRODUCT(('Fase de Grupos'!$E$2:$E$73=$B81)*ISNUMBER('Fase de Grupos'!$F$2:$F$73)*ISNUMBER('Fase de Grupos'!$H$2:$H$73))+SUMPRODUCT(('Fase de Grupos'!$I$2:$I$73=$B81)*ISNUMBER('Fase de Grupos'!$F$2:$F$73)*ISNUMBER('Fase de Grupos'!$H$2:$H$73))</f>
        <v>3</v>
      </c>
      <c r="D81" s="2">
        <f>SUMPRODUCT(('Fase de Grupos'!$E$2:$E$73=$B81)*ISNUMBER('Fase de Grupos'!$F$2:$F$73)*ISNUMBER('Fase de Grupos'!$H$2:$H$73)*('Fase de Grupos'!$F$2:$F$73&gt;'Fase de Grupos'!$H$2:$H$73))+SUMPRODUCT(('Fase de Grupos'!$I$2:$I$73=$B81)*ISNUMBER('Fase de Grupos'!$F$2:$F$73)*ISNUMBER('Fase de Grupos'!$H$2:$H$73)*('Fase de Grupos'!$H$2:$H$73&gt;'Fase de Grupos'!$F$2:$F$73))</f>
        <v>2</v>
      </c>
      <c r="E81" s="2">
        <f>SUMPRODUCT(('Fase de Grupos'!$E$2:$E$73=$B81)*ISNUMBER('Fase de Grupos'!$F$2:$F$73)*ISNUMBER('Fase de Grupos'!$H$2:$H$73)*('Fase de Grupos'!$F$2:$F$73='Fase de Grupos'!$H$2:$H$73))+SUMPRODUCT(('Fase de Grupos'!$I$2:$I$73=$B81)*ISNUMBER('Fase de Grupos'!$F$2:$F$73)*ISNUMBER('Fase de Grupos'!$H$2:$H$73)*('Fase de Grupos'!$F$2:$F$73='Fase de Grupos'!$H$2:$H$73))</f>
        <v>0</v>
      </c>
      <c r="F81" s="2">
        <f>SUMPRODUCT(('Fase de Grupos'!$E$2:$E$73=$B81)*ISNUMBER('Fase de Grupos'!$F$2:$F$73)*ISNUMBER('Fase de Grupos'!$H$2:$H$73)*('Fase de Grupos'!$F$2:$F$73&lt;'Fase de Grupos'!$H$2:$H$73))+SUMPRODUCT(('Fase de Grupos'!$I$2:$I$73=$B81)*ISNUMBER('Fase de Grupos'!$F$2:$F$73)*ISNUMBER('Fase de Grupos'!$H$2:$H$73)*('Fase de Grupos'!$H$2:$H$73&lt;'Fase de Grupos'!$F$2:$F$73))</f>
        <v>1</v>
      </c>
      <c r="G81" s="2">
        <f>SUMPRODUCT(('Fase de Grupos'!$E$2:$E$73=$B81)*ISNUMBER('Fase de Grupos'!$F$2:$F$73)*ISNUMBER('Fase de Grupos'!$H$2:$H$73)*'Fase de Grupos'!$F$2:$F$73)+SUMPRODUCT(('Fase de Grupos'!$I$2:$I$73=$B81)*ISNUMBER('Fase de Grupos'!$F$2:$F$73)*ISNUMBER('Fase de Grupos'!$H$2:$H$73)*'Fase de Grupos'!$H$2:$H$73)</f>
        <v>5</v>
      </c>
      <c r="H81" s="2">
        <f>SUMPRODUCT(('Fase de Grupos'!$E$2:$E$73=$B81)*ISNUMBER('Fase de Grupos'!$F$2:$F$73)*ISNUMBER('Fase de Grupos'!$H$2:$H$73)*'Fase de Grupos'!$H$2:$H$73)+SUMPRODUCT(('Fase de Grupos'!$I$2:$I$73=$B81)*ISNUMBER('Fase de Grupos'!$F$2:$F$73)*ISNUMBER('Fase de Grupos'!$H$2:$H$73)*'Fase de Grupos'!$F$2:$F$73)</f>
        <v>5</v>
      </c>
      <c r="I81" s="2">
        <f>G81-H81</f>
        <v>0</v>
      </c>
      <c r="J81" s="2">
        <f>D81*3+E81</f>
        <v>6</v>
      </c>
    </row>
    <row r="82" spans="1:10" x14ac:dyDescent="0.35">
      <c r="A82" s="2">
        <v>3</v>
      </c>
      <c r="B82" s="3" t="s">
        <v>99</v>
      </c>
      <c r="C82" s="2">
        <f>SUMPRODUCT(('Fase de Grupos'!$E$2:$E$73=$B82)*ISNUMBER('Fase de Grupos'!$F$2:$F$73)*ISNUMBER('Fase de Grupos'!$H$2:$H$73))+SUMPRODUCT(('Fase de Grupos'!$I$2:$I$73=$B82)*ISNUMBER('Fase de Grupos'!$F$2:$F$73)*ISNUMBER('Fase de Grupos'!$H$2:$H$73))</f>
        <v>3</v>
      </c>
      <c r="D82" s="2">
        <f>SUMPRODUCT(('Fase de Grupos'!$E$2:$E$73=$B82)*ISNUMBER('Fase de Grupos'!$F$2:$F$73)*ISNUMBER('Fase de Grupos'!$H$2:$H$73)*('Fase de Grupos'!$F$2:$F$73&gt;'Fase de Grupos'!$H$2:$H$73))+SUMPRODUCT(('Fase de Grupos'!$I$2:$I$73=$B82)*ISNUMBER('Fase de Grupos'!$F$2:$F$73)*ISNUMBER('Fase de Grupos'!$H$2:$H$73)*('Fase de Grupos'!$H$2:$H$73&gt;'Fase de Grupos'!$F$2:$F$73))</f>
        <v>0</v>
      </c>
      <c r="E82" s="2">
        <f>SUMPRODUCT(('Fase de Grupos'!$E$2:$E$73=$B82)*ISNUMBER('Fase de Grupos'!$F$2:$F$73)*ISNUMBER('Fase de Grupos'!$H$2:$H$73)*('Fase de Grupos'!$F$2:$F$73='Fase de Grupos'!$H$2:$H$73))+SUMPRODUCT(('Fase de Grupos'!$I$2:$I$73=$B82)*ISNUMBER('Fase de Grupos'!$F$2:$F$73)*ISNUMBER('Fase de Grupos'!$H$2:$H$73)*('Fase de Grupos'!$F$2:$F$73='Fase de Grupos'!$H$2:$H$73))</f>
        <v>0</v>
      </c>
      <c r="F82" s="2">
        <f>SUMPRODUCT(('Fase de Grupos'!$E$2:$E$73=$B82)*ISNUMBER('Fase de Grupos'!$F$2:$F$73)*ISNUMBER('Fase de Grupos'!$H$2:$H$73)*('Fase de Grupos'!$F$2:$F$73&lt;'Fase de Grupos'!$H$2:$H$73))+SUMPRODUCT(('Fase de Grupos'!$I$2:$I$73=$B82)*ISNUMBER('Fase de Grupos'!$F$2:$F$73)*ISNUMBER('Fase de Grupos'!$H$2:$H$73)*('Fase de Grupos'!$H$2:$H$73&lt;'Fase de Grupos'!$F$2:$F$73))</f>
        <v>3</v>
      </c>
      <c r="G82" s="2">
        <f>SUMPRODUCT(('Fase de Grupos'!$E$2:$E$73=$B82)*ISNUMBER('Fase de Grupos'!$F$2:$F$73)*ISNUMBER('Fase de Grupos'!$H$2:$H$73)*'Fase de Grupos'!$F$2:$F$73)+SUMPRODUCT(('Fase de Grupos'!$I$2:$I$73=$B82)*ISNUMBER('Fase de Grupos'!$F$2:$F$73)*ISNUMBER('Fase de Grupos'!$H$2:$H$73)*'Fase de Grupos'!$H$2:$H$73)</f>
        <v>0</v>
      </c>
      <c r="H82" s="2">
        <f>SUMPRODUCT(('Fase de Grupos'!$E$2:$E$73=$B82)*ISNUMBER('Fase de Grupos'!$F$2:$F$73)*ISNUMBER('Fase de Grupos'!$H$2:$H$73)*'Fase de Grupos'!$H$2:$H$73)+SUMPRODUCT(('Fase de Grupos'!$I$2:$I$73=$B82)*ISNUMBER('Fase de Grupos'!$F$2:$F$73)*ISNUMBER('Fase de Grupos'!$H$2:$H$73)*'Fase de Grupos'!$F$2:$F$73)</f>
        <v>4</v>
      </c>
      <c r="I82" s="2">
        <f>G82-H82</f>
        <v>-4</v>
      </c>
      <c r="J82" s="2">
        <f>D82*3+E82</f>
        <v>0</v>
      </c>
    </row>
    <row r="83" spans="1:10" x14ac:dyDescent="0.35">
      <c r="A83" s="2">
        <v>4</v>
      </c>
      <c r="B83" s="3" t="s">
        <v>98</v>
      </c>
      <c r="C83" s="2">
        <f>SUMPRODUCT(('Fase de Grupos'!$E$2:$E$73=$B83)*ISNUMBER('Fase de Grupos'!$F$2:$F$73)*ISNUMBER('Fase de Grupos'!$H$2:$H$73))+SUMPRODUCT(('Fase de Grupos'!$I$2:$I$73=$B83)*ISNUMBER('Fase de Grupos'!$F$2:$F$73)*ISNUMBER('Fase de Grupos'!$H$2:$H$73))</f>
        <v>3</v>
      </c>
      <c r="D83" s="2">
        <f>SUMPRODUCT(('Fase de Grupos'!$E$2:$E$73=$B83)*ISNUMBER('Fase de Grupos'!$F$2:$F$73)*ISNUMBER('Fase de Grupos'!$H$2:$H$73)*('Fase de Grupos'!$F$2:$F$73&gt;'Fase de Grupos'!$H$2:$H$73))+SUMPRODUCT(('Fase de Grupos'!$I$2:$I$73=$B83)*ISNUMBER('Fase de Grupos'!$F$2:$F$73)*ISNUMBER('Fase de Grupos'!$H$2:$H$73)*('Fase de Grupos'!$H$2:$H$73&gt;'Fase de Grupos'!$F$2:$F$73))</f>
        <v>1</v>
      </c>
      <c r="E83" s="2">
        <f>SUMPRODUCT(('Fase de Grupos'!$E$2:$E$73=$B83)*ISNUMBER('Fase de Grupos'!$F$2:$F$73)*ISNUMBER('Fase de Grupos'!$H$2:$H$73)*('Fase de Grupos'!$F$2:$F$73='Fase de Grupos'!$H$2:$H$73))+SUMPRODUCT(('Fase de Grupos'!$I$2:$I$73=$B83)*ISNUMBER('Fase de Grupos'!$F$2:$F$73)*ISNUMBER('Fase de Grupos'!$H$2:$H$73)*('Fase de Grupos'!$F$2:$F$73='Fase de Grupos'!$H$2:$H$73))</f>
        <v>1</v>
      </c>
      <c r="F83" s="2">
        <f>SUMPRODUCT(('Fase de Grupos'!$E$2:$E$73=$B83)*ISNUMBER('Fase de Grupos'!$F$2:$F$73)*ISNUMBER('Fase de Grupos'!$H$2:$H$73)*('Fase de Grupos'!$F$2:$F$73&lt;'Fase de Grupos'!$H$2:$H$73))+SUMPRODUCT(('Fase de Grupos'!$I$2:$I$73=$B83)*ISNUMBER('Fase de Grupos'!$F$2:$F$73)*ISNUMBER('Fase de Grupos'!$H$2:$H$73)*('Fase de Grupos'!$H$2:$H$73&lt;'Fase de Grupos'!$F$2:$F$73))</f>
        <v>1</v>
      </c>
      <c r="G83" s="2">
        <f>SUMPRODUCT(('Fase de Grupos'!$E$2:$E$73=$B83)*ISNUMBER('Fase de Grupos'!$F$2:$F$73)*ISNUMBER('Fase de Grupos'!$H$2:$H$73)*'Fase de Grupos'!$F$2:$F$73)+SUMPRODUCT(('Fase de Grupos'!$I$2:$I$73=$B83)*ISNUMBER('Fase de Grupos'!$F$2:$F$73)*ISNUMBER('Fase de Grupos'!$H$2:$H$73)*'Fase de Grupos'!$H$2:$H$73)</f>
        <v>2</v>
      </c>
      <c r="H83" s="2">
        <f>SUMPRODUCT(('Fase de Grupos'!$E$2:$E$73=$B83)*ISNUMBER('Fase de Grupos'!$F$2:$F$73)*ISNUMBER('Fase de Grupos'!$H$2:$H$73)*'Fase de Grupos'!$H$2:$H$73)+SUMPRODUCT(('Fase de Grupos'!$I$2:$I$73=$B83)*ISNUMBER('Fase de Grupos'!$F$2:$F$73)*ISNUMBER('Fase de Grupos'!$H$2:$H$73)*'Fase de Grupos'!$F$2:$F$73)</f>
        <v>2</v>
      </c>
      <c r="I83" s="2">
        <f>G83-H83</f>
        <v>0</v>
      </c>
      <c r="J83" s="2">
        <f>D83*3+E83</f>
        <v>4</v>
      </c>
    </row>
  </sheetData>
  <mergeCells count="12">
    <mergeCell ref="A1:J1"/>
    <mergeCell ref="A36:J36"/>
    <mergeCell ref="A8:J8"/>
    <mergeCell ref="A22:J22"/>
    <mergeCell ref="A78:J78"/>
    <mergeCell ref="A15:J15"/>
    <mergeCell ref="A29:J29"/>
    <mergeCell ref="A50:J50"/>
    <mergeCell ref="A43:J43"/>
    <mergeCell ref="A57:J57"/>
    <mergeCell ref="A64:J64"/>
    <mergeCell ref="A71:J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4.5" x14ac:dyDescent="0.35"/>
  <cols>
    <col min="1" max="1" width="8" customWidth="1"/>
    <col min="2" max="2" width="12" customWidth="1"/>
    <col min="3" max="3" width="10" customWidth="1"/>
    <col min="4" max="4" width="22" customWidth="1"/>
    <col min="5" max="5" width="8" customWidth="1"/>
    <col min="6" max="6" width="4" customWidth="1"/>
    <col min="7" max="7" width="8" customWidth="1"/>
    <col min="8" max="9" width="22" customWidth="1"/>
    <col min="10" max="10" width="12.08984375" bestFit="1" customWidth="1"/>
  </cols>
  <sheetData>
    <row r="1" spans="1:10" x14ac:dyDescent="0.35">
      <c r="A1" s="1" t="s">
        <v>0</v>
      </c>
      <c r="B1" s="1" t="s">
        <v>135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0</v>
      </c>
      <c r="F2" s="2" t="s">
        <v>6</v>
      </c>
      <c r="G2" s="4">
        <v>1</v>
      </c>
      <c r="H2" s="3" t="s">
        <v>22</v>
      </c>
      <c r="I2" s="3" t="s">
        <v>29</v>
      </c>
      <c r="J2" s="37">
        <v>0.66666666666666663</v>
      </c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3" t="s">
        <v>41</v>
      </c>
      <c r="J3" s="37">
        <v>0.58333333333333337</v>
      </c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3" t="s">
        <v>63</v>
      </c>
      <c r="J4" s="37">
        <v>0.72916666666666663</v>
      </c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3" t="s">
        <v>51</v>
      </c>
      <c r="J5" s="37">
        <v>0.91666666666666663</v>
      </c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3" t="s">
        <v>38</v>
      </c>
      <c r="J6" s="37">
        <v>0.58333333333333337</v>
      </c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3" t="s">
        <v>56</v>
      </c>
      <c r="J7" s="37">
        <v>0.75</v>
      </c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3" t="s">
        <v>15</v>
      </c>
      <c r="J8" s="37">
        <v>0.91666666666666663</v>
      </c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3" t="s">
        <v>69</v>
      </c>
      <c r="J9" s="37">
        <v>0.54166666666666663</v>
      </c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3" t="s">
        <v>33</v>
      </c>
      <c r="J10" s="37">
        <v>0.70833333333333337</v>
      </c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3" t="s">
        <v>73</v>
      </c>
      <c r="J11" s="37">
        <v>0.875</v>
      </c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3" t="s">
        <v>24</v>
      </c>
      <c r="J12" s="37">
        <v>0.66666666666666663</v>
      </c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3" t="s">
        <v>29</v>
      </c>
      <c r="J13" s="37">
        <v>0.83333333333333337</v>
      </c>
    </row>
    <row r="14" spans="1:10" x14ac:dyDescent="0.35">
      <c r="A14" s="2">
        <v>85</v>
      </c>
      <c r="B14" s="2" t="s">
        <v>197</v>
      </c>
      <c r="C14" s="28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3" t="s">
        <v>46</v>
      </c>
      <c r="J14" s="37">
        <v>0</v>
      </c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3" t="s">
        <v>76</v>
      </c>
      <c r="J15" s="37">
        <v>0.625</v>
      </c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3" t="s">
        <v>88</v>
      </c>
      <c r="J16" s="37">
        <v>0.79166666666666663</v>
      </c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3" t="s">
        <v>56</v>
      </c>
      <c r="J17" s="37">
        <v>0.9375</v>
      </c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3" t="s">
        <v>60</v>
      </c>
      <c r="J18" s="36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3" t="s">
        <v>51</v>
      </c>
      <c r="J19" s="36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3" t="s">
        <v>38</v>
      </c>
      <c r="J20" s="36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3" t="s">
        <v>15</v>
      </c>
      <c r="J21" s="36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3" t="s">
        <v>56</v>
      </c>
      <c r="J22" s="36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3" t="s">
        <v>73</v>
      </c>
      <c r="J23" s="36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3" t="s">
        <v>69</v>
      </c>
      <c r="J24" s="36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3" t="s">
        <v>46</v>
      </c>
      <c r="J25" s="36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3" t="s">
        <v>41</v>
      </c>
      <c r="J26" s="36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3" t="s">
        <v>29</v>
      </c>
      <c r="J27" s="36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3" t="s">
        <v>76</v>
      </c>
      <c r="J28" s="36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3" t="s">
        <v>88</v>
      </c>
      <c r="J29" s="36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3" t="s">
        <v>56</v>
      </c>
      <c r="J30" s="36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3" t="s">
        <v>69</v>
      </c>
      <c r="J31" s="36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3" t="s">
        <v>76</v>
      </c>
      <c r="J32" s="36"/>
    </row>
    <row r="33" spans="1:10" ht="15.5" x14ac:dyDescent="0.35">
      <c r="A33" s="5">
        <v>104</v>
      </c>
      <c r="B33" s="5" t="s">
        <v>157</v>
      </c>
      <c r="C33" s="5" t="s">
        <v>158</v>
      </c>
      <c r="D33" s="6" t="s">
        <v>137</v>
      </c>
      <c r="E33" s="5"/>
      <c r="F33" s="5" t="s">
        <v>6</v>
      </c>
      <c r="G33" s="5"/>
      <c r="H33" s="6" t="s">
        <v>137</v>
      </c>
      <c r="I33" s="6" t="s">
        <v>38</v>
      </c>
      <c r="J33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83"/>
  <sheetViews>
    <sheetView workbookViewId="0">
      <pane ySplit="1" topLeftCell="A2" activePane="bottomLeft" state="frozen"/>
      <selection activeCell="A17" sqref="A17:A48"/>
      <selection pane="bottomLeft" activeCell="J2" sqref="J2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x14ac:dyDescent="0.35">
      <c r="A14" s="2">
        <v>13</v>
      </c>
      <c r="B14" s="2" t="s">
        <v>64</v>
      </c>
      <c r="C14" s="2" t="s">
        <v>130</v>
      </c>
      <c r="D14" s="3" t="s">
        <v>67</v>
      </c>
      <c r="E14" s="4">
        <v>6</v>
      </c>
      <c r="F14" s="2" t="s">
        <v>6</v>
      </c>
      <c r="G14" s="4">
        <v>0</v>
      </c>
      <c r="H14" s="3" t="s">
        <v>68</v>
      </c>
      <c r="I14" s="2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❌ Errou</v>
      </c>
      <c r="J14" s="2">
        <f>IF(OR(E14="",G14="",'Fase de Grupos'!F14="",'Fase de Grupos'!H14=""),"",IF(AND(E14='Fase de Grupos'!F14,G14='Fase de Grupos'!H14),5,IF(SIGN(E14-G14)=SIGN('Fase de Grupos'!F14-'Fase de Grupos'!H14),3,0)))</f>
        <v>0</v>
      </c>
    </row>
    <row r="15" spans="1:10" x14ac:dyDescent="0.35">
      <c r="A15" s="2">
        <v>14</v>
      </c>
      <c r="B15" s="2" t="s">
        <v>64</v>
      </c>
      <c r="C15" s="2" t="s">
        <v>129</v>
      </c>
      <c r="D15" s="3" t="s">
        <v>71</v>
      </c>
      <c r="E15" s="4">
        <v>3</v>
      </c>
      <c r="F15" s="2" t="s">
        <v>6</v>
      </c>
      <c r="G15" s="4">
        <v>1</v>
      </c>
      <c r="H15" s="3" t="s">
        <v>72</v>
      </c>
      <c r="I15" s="2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❌ Errou</v>
      </c>
      <c r="J15" s="2">
        <f>IF(OR(E15="",G15="",'Fase de Grupos'!F15="",'Fase de Grupos'!H15=""),"",IF(AND(E15='Fase de Grupos'!F15,G15='Fase de Grupos'!H15),5,IF(SIGN(E15-G15)=SIGN('Fase de Grupos'!F15-'Fase de Grupos'!H15),3,0)))</f>
        <v>0</v>
      </c>
    </row>
    <row r="16" spans="1:10" x14ac:dyDescent="0.35">
      <c r="A16" s="2">
        <v>15</v>
      </c>
      <c r="B16" s="2" t="s">
        <v>64</v>
      </c>
      <c r="C16" s="2" t="s">
        <v>130</v>
      </c>
      <c r="D16" s="3" t="s">
        <v>74</v>
      </c>
      <c r="E16" s="4">
        <v>0</v>
      </c>
      <c r="F16" s="2" t="s">
        <v>6</v>
      </c>
      <c r="G16" s="4">
        <v>2</v>
      </c>
      <c r="H16" s="3" t="s">
        <v>75</v>
      </c>
      <c r="I16" s="2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❌ Errou</v>
      </c>
      <c r="J16" s="2">
        <f>IF(OR(E16="",G16="",'Fase de Grupos'!F16="",'Fase de Grupos'!H16=""),"",IF(AND(E16='Fase de Grupos'!F16,G16='Fase de Grupos'!H16),5,IF(SIGN(E16-G16)=SIGN('Fase de Grupos'!F16-'Fase de Grupos'!H16),3,0)))</f>
        <v>0</v>
      </c>
    </row>
    <row r="17" spans="1:10" x14ac:dyDescent="0.35">
      <c r="A17" s="2">
        <v>16</v>
      </c>
      <c r="B17" s="2" t="s">
        <v>64</v>
      </c>
      <c r="C17" s="2" t="s">
        <v>129</v>
      </c>
      <c r="D17" s="3" t="s">
        <v>77</v>
      </c>
      <c r="E17" s="4">
        <v>2</v>
      </c>
      <c r="F17" s="2" t="s">
        <v>6</v>
      </c>
      <c r="G17" s="4">
        <v>0</v>
      </c>
      <c r="H17" s="3" t="s">
        <v>78</v>
      </c>
      <c r="I17" s="2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❌ Errou</v>
      </c>
      <c r="J17" s="2">
        <f>IF(OR(E17="",G17="",'Fase de Grupos'!F17="",'Fase de Grupos'!H17=""),"",IF(AND(E17='Fase de Grupos'!F17,G17='Fase de Grupos'!H17),5,IF(SIGN(E17-G17)=SIGN('Fase de Grupos'!F17-'Fase de Grupos'!H17),3,0)))</f>
        <v>0</v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3</v>
      </c>
      <c r="F18" s="2" t="s">
        <v>6</v>
      </c>
      <c r="G18" s="4">
        <v>1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✅ Placar exato!</v>
      </c>
      <c r="J18" s="2">
        <f>IF(OR(E18="",G18="",'Fase de Grupos'!F18="",'Fase de Grupos'!H18=""),"",IF(AND(E18='Fase de Grupos'!F18,G18='Fase de Grupos'!H18),5,IF(SIGN(E18-G18)=SIGN('Fase de Grupos'!F18-'Fase de Grupos'!H18),3,0)))</f>
        <v>5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1</v>
      </c>
      <c r="F19" s="2" t="s">
        <v>6</v>
      </c>
      <c r="G19" s="4">
        <v>2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🟡 Acertou resultado</v>
      </c>
      <c r="J19" s="2">
        <f>IF(OR(E19="",G19="",'Fase de Grupos'!F19="",'Fase de Grupos'!H19=""),"",IF(AND(E19='Fase de Grupos'!F19,G19='Fase de Grupos'!H19),5,IF(SIGN(E19-G19)=SIGN('Fase de Grupos'!F19-'Fase de Grupos'!H19),3,0)))</f>
        <v>3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1</v>
      </c>
      <c r="F20" s="2" t="s">
        <v>6</v>
      </c>
      <c r="G20" s="4">
        <v>0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🟡 Acertou resultado</v>
      </c>
      <c r="J20" s="2">
        <f>IF(OR(E20="",G20="",'Fase de Grupos'!F20="",'Fase de Grupos'!H20=""),"",IF(AND(E20='Fase de Grupos'!F20,G20='Fase de Grupos'!H20),5,IF(SIGN(E20-G20)=SIGN('Fase de Grupos'!F20-'Fase de Grupos'!H20),3,0)))</f>
        <v>3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2</v>
      </c>
      <c r="F21" s="2" t="s">
        <v>6</v>
      </c>
      <c r="G21" s="4">
        <v>0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🟡 Acertou resultado</v>
      </c>
      <c r="J21" s="2">
        <f>IF(OR(E21="",G21="",'Fase de Grupos'!F21="",'Fase de Grupos'!H21=""),"",IF(AND(E21='Fase de Grupos'!F21,G21='Fase de Grupos'!H21),5,IF(SIGN(E21-G21)=SIGN('Fase de Grupos'!F21-'Fase de Grupos'!H21),3,0)))</f>
        <v>3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3</v>
      </c>
      <c r="F22" s="2" t="s">
        <v>6</v>
      </c>
      <c r="G22" s="4">
        <v>0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2</v>
      </c>
      <c r="F23" s="2" t="s">
        <v>6</v>
      </c>
      <c r="G23" s="4">
        <v>1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🟡 Acertou resultado</v>
      </c>
      <c r="J23" s="2">
        <f>IF(OR(E23="",G23="",'Fase de Grupos'!F23="",'Fase de Grupos'!H23=""),"",IF(AND(E23='Fase de Grupos'!F23,G23='Fase de Grupos'!H23),5,IF(SIGN(E23-G23)=SIGN('Fase de Grupos'!F23-'Fase de Grupos'!H23),3,0)))</f>
        <v>3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3</v>
      </c>
      <c r="F24" s="2" t="s">
        <v>6</v>
      </c>
      <c r="G24" s="4">
        <v>2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🟡 Acertou resultado</v>
      </c>
      <c r="J24" s="2">
        <f>IF(OR(E24="",G24="",'Fase de Grupos'!F24="",'Fase de Grupos'!H24=""),"",IF(AND(E24='Fase de Grupos'!F24,G24='Fase de Grupos'!H24),5,IF(SIGN(E24-G24)=SIGN('Fase de Grupos'!F24-'Fase de Grupos'!H24),3,0)))</f>
        <v>3</v>
      </c>
    </row>
    <row r="25" spans="1:10" x14ac:dyDescent="0.35">
      <c r="A25" s="2">
        <v>24</v>
      </c>
      <c r="B25" s="2" t="s">
        <v>89</v>
      </c>
      <c r="C25" s="2" t="s">
        <v>133</v>
      </c>
      <c r="D25" s="3" t="s">
        <v>100</v>
      </c>
      <c r="E25" s="4">
        <v>0</v>
      </c>
      <c r="F25" s="2" t="s">
        <v>6</v>
      </c>
      <c r="G25" s="4">
        <v>2</v>
      </c>
      <c r="H25" s="3" t="s">
        <v>101</v>
      </c>
      <c r="I25" s="2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🟡 Acertou resultado</v>
      </c>
      <c r="J25" s="2">
        <f>IF(OR(E25="",G25="",'Fase de Grupos'!F25="",'Fase de Grupos'!H25=""),"",IF(AND(E25='Fase de Grupos'!F25,G25='Fase de Grupos'!H25),5,IF(SIGN(E25-G25)=SIGN('Fase de Grupos'!F25-'Fase de Grupos'!H25),3,0)))</f>
        <v>3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2</v>
      </c>
      <c r="F26" s="2" t="s">
        <v>6</v>
      </c>
      <c r="G26" s="4">
        <v>2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🟡 Acertou resultado</v>
      </c>
      <c r="J26" s="2">
        <f>IF(OR(E26="",G26="",'Fase de Grupos'!F26="",'Fase de Grupos'!H26=""),"",IF(AND(E26='Fase de Grupos'!F26,G26='Fase de Grupos'!H26),5,IF(SIGN(E26-G26)=SIGN('Fase de Grupos'!F26-'Fase de Grupos'!H26),3,0)))</f>
        <v>3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3</v>
      </c>
      <c r="F27" s="2" t="s">
        <v>6</v>
      </c>
      <c r="G27" s="4">
        <v>1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🟡 Acertou resultado</v>
      </c>
      <c r="J27" s="2">
        <f>IF(OR(E27="",G27="",'Fase de Grupos'!F27="",'Fase de Grupos'!H27=""),"",IF(AND(E27='Fase de Grupos'!F27,G27='Fase de Grupos'!H27),5,IF(SIGN(E27-G27)=SIGN('Fase de Grupos'!F27-'Fase de Grupos'!H27),3,0)))</f>
        <v>3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2</v>
      </c>
      <c r="F28" s="2" t="s">
        <v>6</v>
      </c>
      <c r="G28" s="4">
        <v>0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🟡 Acertou resultado</v>
      </c>
      <c r="J28" s="2">
        <f>IF(OR(E28="",G28="",'Fase de Grupos'!F28="",'Fase de Grupos'!H28=""),"",IF(AND(E28='Fase de Grupos'!F28,G28='Fase de Grupos'!H28),5,IF(SIGN(E28-G28)=SIGN('Fase de Grupos'!F28-'Fase de Grupos'!H28),3,0)))</f>
        <v>3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1</v>
      </c>
      <c r="F29" s="2" t="s">
        <v>6</v>
      </c>
      <c r="G29" s="4">
        <v>2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❌ Errou</v>
      </c>
      <c r="J29" s="2">
        <f>IF(OR(E29="",G29="",'Fase de Grupos'!F29="",'Fase de Grupos'!H29=""),"",IF(AND(E29='Fase de Grupos'!F29,G29='Fase de Grupos'!H29),5,IF(SIGN(E29-G29)=SIGN('Fase de Grupos'!F29-'Fase de Grupos'!H29),3,0)))</f>
        <v>0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3</v>
      </c>
      <c r="F30" s="2" t="s">
        <v>6</v>
      </c>
      <c r="G30" s="4">
        <v>2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🟡 Acertou resultado</v>
      </c>
      <c r="J30" s="2">
        <f>IF(OR(E30="",G30="",'Fase de Grupos'!F30="",'Fase de Grupos'!H30=""),"",IF(AND(E30='Fase de Grupos'!F30,G30='Fase de Grupos'!H30),5,IF(SIGN(E30-G30)=SIGN('Fase de Grupos'!F30-'Fase de Grupos'!H30),3,0)))</f>
        <v>3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2</v>
      </c>
      <c r="F31" s="2" t="s">
        <v>6</v>
      </c>
      <c r="G31" s="4">
        <v>2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❌ Errou</v>
      </c>
      <c r="J31" s="2">
        <f>IF(OR(E31="",G31="",'Fase de Grupos'!F31="",'Fase de Grupos'!H31=""),"",IF(AND(E31='Fase de Grupos'!F31,G31='Fase de Grupos'!H31),5,IF(SIGN(E31-G31)=SIGN('Fase de Grupos'!F31-'Fase de Grupos'!H31),3,0)))</f>
        <v>0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3</v>
      </c>
      <c r="F32" s="2" t="s">
        <v>6</v>
      </c>
      <c r="G32" s="4">
        <v>0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✅ Placar exato!</v>
      </c>
      <c r="J32" s="2">
        <f>IF(OR(E32="",G32="",'Fase de Grupos'!F32="",'Fase de Grupos'!H32=""),"",IF(AND(E32='Fase de Grupos'!F32,G32='Fase de Grupos'!H32),5,IF(SIGN(E32-G32)=SIGN('Fase de Grupos'!F32-'Fase de Grupos'!H32),3,0)))</f>
        <v>5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2</v>
      </c>
      <c r="F33" s="2" t="s">
        <v>6</v>
      </c>
      <c r="G33" s="4">
        <v>1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❌ Errou</v>
      </c>
      <c r="J33" s="2">
        <f>IF(OR(E33="",G33="",'Fase de Grupos'!F33="",'Fase de Grupos'!H33=""),"",IF(AND(E33='Fase de Grupos'!F33,G33='Fase de Grupos'!H33),5,IF(SIGN(E33-G33)=SIGN('Fase de Grupos'!F33-'Fase de Grupos'!H33),3,0)))</f>
        <v>0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2</v>
      </c>
      <c r="F34" s="2" t="s">
        <v>6</v>
      </c>
      <c r="G34" s="4">
        <v>1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✅ Placar exato!</v>
      </c>
      <c r="J34" s="2">
        <f>IF(OR(E34="",G34="",'Fase de Grupos'!F34="",'Fase de Grupos'!H34=""),"",IF(AND(E34='Fase de Grupos'!F34,G34='Fase de Grupos'!H34),5,IF(SIGN(E34-G34)=SIGN('Fase de Grupos'!F34-'Fase de Grupos'!H34),3,0)))</f>
        <v>5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4</v>
      </c>
      <c r="F35" s="2" t="s">
        <v>6</v>
      </c>
      <c r="G35" s="4">
        <v>2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❌ Errou</v>
      </c>
      <c r="J35" s="2">
        <f>IF(OR(E35="",G35="",'Fase de Grupos'!F35="",'Fase de Grupos'!H35=""),"",IF(AND(E35='Fase de Grupos'!F35,G35='Fase de Grupos'!H35),5,IF(SIGN(E35-G35)=SIGN('Fase de Grupos'!F35-'Fase de Grupos'!H35),3,0)))</f>
        <v>0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3</v>
      </c>
      <c r="F36" s="2" t="s">
        <v>6</v>
      </c>
      <c r="G36" s="4">
        <v>3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❌ Errou</v>
      </c>
      <c r="J36" s="2">
        <f>IF(OR(E36="",G36="",'Fase de Grupos'!F36="",'Fase de Grupos'!H36=""),"",IF(AND(E36='Fase de Grupos'!F36,G36='Fase de Grupos'!H36),5,IF(SIGN(E36-G36)=SIGN('Fase de Grupos'!F36-'Fase de Grupos'!H36),3,0)))</f>
        <v>0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2</v>
      </c>
      <c r="F37" s="2" t="s">
        <v>6</v>
      </c>
      <c r="G37" s="4">
        <v>2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❌ Errou</v>
      </c>
      <c r="J37" s="2">
        <f>IF(OR(E37="",G37="",'Fase de Grupos'!F37="",'Fase de Grupos'!H37=""),"",IF(AND(E37='Fase de Grupos'!F37,G37='Fase de Grupos'!H37),5,IF(SIGN(E37-G37)=SIGN('Fase de Grupos'!F37-'Fase de Grupos'!H37),3,0)))</f>
        <v>0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3</v>
      </c>
      <c r="F38" s="2" t="s">
        <v>6</v>
      </c>
      <c r="G38" s="4">
        <v>0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🟡 Acertou resultado</v>
      </c>
      <c r="J38" s="2">
        <f>IF(OR(E38="",G38="",'Fase de Grupos'!F38="",'Fase de Grupos'!H38=""),"",IF(AND(E38='Fase de Grupos'!F38,G38='Fase de Grupos'!H38),5,IF(SIGN(E38-G38)=SIGN('Fase de Grupos'!F38-'Fase de Grupos'!H38),3,0)))</f>
        <v>3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2</v>
      </c>
      <c r="F39" s="2" t="s">
        <v>6</v>
      </c>
      <c r="G39" s="4">
        <v>1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❌ Errou</v>
      </c>
      <c r="J39" s="2">
        <f>IF(OR(E39="",G39="",'Fase de Grupos'!F39="",'Fase de Grupos'!H39=""),"",IF(AND(E39='Fase de Grupos'!F39,G39='Fase de Grupos'!H39),5,IF(SIGN(E39-G39)=SIGN('Fase de Grupos'!F39-'Fase de Grupos'!H39),3,0)))</f>
        <v>0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2</v>
      </c>
      <c r="F40" s="2" t="s">
        <v>6</v>
      </c>
      <c r="G40" s="4">
        <v>1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1</v>
      </c>
      <c r="F41" s="2" t="s">
        <v>6</v>
      </c>
      <c r="G41" s="4">
        <v>3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✅ Placar exato!</v>
      </c>
      <c r="J41" s="2">
        <f>IF(OR(E41="",G41="",'Fase de Grupos'!F41="",'Fase de Grupos'!H41=""),"",IF(AND(E41='Fase de Grupos'!F41,G41='Fase de Grupos'!H41),5,IF(SIGN(E41-G41)=SIGN('Fase de Grupos'!F41-'Fase de Grupos'!H41),3,0)))</f>
        <v>5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3</v>
      </c>
      <c r="F42" s="2" t="s">
        <v>6</v>
      </c>
      <c r="G42" s="4">
        <v>0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✅ Placar exato!</v>
      </c>
      <c r="J42" s="2">
        <f>IF(OR(E42="",G42="",'Fase de Grupos'!F42="",'Fase de Grupos'!H42=""),"",IF(AND(E42='Fase de Grupos'!F42,G42='Fase de Grupos'!H42),5,IF(SIGN(E42-G42)=SIGN('Fase de Grupos'!F42-'Fase de Grupos'!H42),3,0)))</f>
        <v>5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1</v>
      </c>
      <c r="F43" s="2" t="s">
        <v>6</v>
      </c>
      <c r="G43" s="4">
        <v>2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❌ Errou</v>
      </c>
      <c r="J43" s="2">
        <f>IF(OR(E43="",G43="",'Fase de Grupos'!F43="",'Fase de Grupos'!H43=""),"",IF(AND(E43='Fase de Grupos'!F43,G43='Fase de Grupos'!H43),5,IF(SIGN(E43-G43)=SIGN('Fase de Grupos'!F43-'Fase de Grupos'!H43),3,0)))</f>
        <v>0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2</v>
      </c>
      <c r="F44" s="2" t="s">
        <v>6</v>
      </c>
      <c r="G44" s="4">
        <v>0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✅ Placar exato!</v>
      </c>
      <c r="J44" s="2">
        <f>IF(OR(E44="",G44="",'Fase de Grupos'!F44="",'Fase de Grupos'!H44=""),"",IF(AND(E44='Fase de Grupos'!F44,G44='Fase de Grupos'!H44),5,IF(SIGN(E44-G44)=SIGN('Fase de Grupos'!F44-'Fase de Grupos'!H44),3,0)))</f>
        <v>5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0</v>
      </c>
      <c r="F45" s="2" t="s">
        <v>6</v>
      </c>
      <c r="G45" s="4">
        <v>1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🟡 Acertou resultado</v>
      </c>
      <c r="J45" s="2">
        <f>IF(OR(E45="",G45="",'Fase de Grupos'!F45="",'Fase de Grupos'!H45=""),"",IF(AND(E45='Fase de Grupos'!F45,G45='Fase de Grupos'!H45),5,IF(SIGN(E45-G45)=SIGN('Fase de Grupos'!F45-'Fase de Grupos'!H45),3,0)))</f>
        <v>3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2</v>
      </c>
      <c r="F46" s="2" t="s">
        <v>6</v>
      </c>
      <c r="G46" s="4">
        <v>0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❌ Errou</v>
      </c>
      <c r="J46" s="2">
        <f>IF(OR(E46="",G46="",'Fase de Grupos'!F46="",'Fase de Grupos'!H46=""),"",IF(AND(E46='Fase de Grupos'!F46,G46='Fase de Grupos'!H46),5,IF(SIGN(E46-G46)=SIGN('Fase de Grupos'!F46-'Fase de Grupos'!H46),3,0)))</f>
        <v>0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1</v>
      </c>
      <c r="F47" s="2" t="s">
        <v>6</v>
      </c>
      <c r="G47" s="4">
        <v>4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🟡 Acertou resultado</v>
      </c>
      <c r="J47" s="2">
        <f>IF(OR(E47="",G47="",'Fase de Grupos'!F47="",'Fase de Grupos'!H47=""),"",IF(AND(E47='Fase de Grupos'!F47,G47='Fase de Grupos'!H47),5,IF(SIGN(E47-G47)=SIGN('Fase de Grupos'!F47-'Fase de Grupos'!H47),3,0)))</f>
        <v>3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5</v>
      </c>
      <c r="F48" s="2" t="s">
        <v>6</v>
      </c>
      <c r="G48" s="4">
        <v>1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2</v>
      </c>
      <c r="F49" s="2" t="s">
        <v>6</v>
      </c>
      <c r="G49" s="4">
        <v>2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❌ Errou</v>
      </c>
      <c r="J49" s="2">
        <f>IF(OR(E49="",G49="",'Fase de Grupos'!F49="",'Fase de Grupos'!H49=""),"",IF(AND(E49='Fase de Grupos'!F49,G49='Fase de Grupos'!H49),5,IF(SIGN(E49-G49)=SIGN('Fase de Grupos'!F49-'Fase de Grupos'!H49),3,0)))</f>
        <v>0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0</v>
      </c>
      <c r="F50" s="2" t="s">
        <v>6</v>
      </c>
      <c r="G50" s="4">
        <v>2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🟡 Acertou resultado</v>
      </c>
      <c r="J50" s="2">
        <f>IF(OR(E50="",G50="",'Fase de Grupos'!F50="",'Fase de Grupos'!H50=""),"",IF(AND(E50='Fase de Grupos'!F50,G50='Fase de Grupos'!H50),5,IF(SIGN(E50-G50)=SIGN('Fase de Grupos'!F50-'Fase de Grupos'!H50),3,0)))</f>
        <v>3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3</v>
      </c>
      <c r="F51" s="2" t="s">
        <v>6</v>
      </c>
      <c r="G51" s="4">
        <v>0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🟡 Acertou resultado</v>
      </c>
      <c r="J51" s="2">
        <f>IF(OR(E51="",G51="",'Fase de Grupos'!F51="",'Fase de Grupos'!H51=""),"",IF(AND(E51='Fase de Grupos'!F51,G51='Fase de Grupos'!H51),5,IF(SIGN(E51-G51)=SIGN('Fase de Grupos'!F51-'Fase de Grupos'!H51),3,0)))</f>
        <v>3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2</v>
      </c>
      <c r="F52" s="2" t="s">
        <v>6</v>
      </c>
      <c r="G52" s="4">
        <v>1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✅ Placar exato!</v>
      </c>
      <c r="J52" s="2">
        <f>IF(OR(E52="",G52="",'Fase de Grupos'!F52="",'Fase de Grupos'!H52=""),"",IF(AND(E52='Fase de Grupos'!F52,G52='Fase de Grupos'!H52),5,IF(SIGN(E52-G52)=SIGN('Fase de Grupos'!F52-'Fase de Grupos'!H52),3,0)))</f>
        <v>5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2</v>
      </c>
      <c r="F53" s="2" t="s">
        <v>6</v>
      </c>
      <c r="G53" s="4">
        <v>1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🟡 Acertou resultado</v>
      </c>
      <c r="J53" s="2">
        <f>IF(OR(E53="",G53="",'Fase de Grupos'!F53="",'Fase de Grupos'!H53=""),"",IF(AND(E53='Fase de Grupos'!F53,G53='Fase de Grupos'!H53),5,IF(SIGN(E53-G53)=SIGN('Fase de Grupos'!F53-'Fase de Grupos'!H53),3,0)))</f>
        <v>3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2</v>
      </c>
      <c r="F54" s="2" t="s">
        <v>6</v>
      </c>
      <c r="G54" s="4">
        <v>0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❌ Errou</v>
      </c>
      <c r="J54" s="2">
        <f>IF(OR(E54="",G54="",'Fase de Grupos'!F54="",'Fase de Grupos'!H54=""),"",IF(AND(E54='Fase de Grupos'!F54,G54='Fase de Grupos'!H54),5,IF(SIGN(E54-G54)=SIGN('Fase de Grupos'!F54-'Fase de Grupos'!H54),3,0)))</f>
        <v>0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1</v>
      </c>
      <c r="F55" s="2" t="s">
        <v>6</v>
      </c>
      <c r="G55" s="4">
        <v>3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❌ Errou</v>
      </c>
      <c r="J55" s="2">
        <f>IF(OR(E55="",G55="",'Fase de Grupos'!F55="",'Fase de Grupos'!H55=""),"",IF(AND(E55='Fase de Grupos'!F55,G55='Fase de Grupos'!H55),5,IF(SIGN(E55-G55)=SIGN('Fase de Grupos'!F55-'Fase de Grupos'!H55),3,0)))</f>
        <v>0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2</v>
      </c>
      <c r="F56" s="2" t="s">
        <v>6</v>
      </c>
      <c r="G56" s="4">
        <v>3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🟡 Acertou resultado</v>
      </c>
      <c r="J56" s="2">
        <f>IF(OR(E56="",G56="",'Fase de Grupos'!F56="",'Fase de Grupos'!H56=""),"",IF(AND(E56='Fase de Grupos'!F56,G56='Fase de Grupos'!H56),5,IF(SIGN(E56-G56)=SIGN('Fase de Grupos'!F56-'Fase de Grupos'!H56),3,0)))</f>
        <v>3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2</v>
      </c>
      <c r="F57" s="2" t="s">
        <v>6</v>
      </c>
      <c r="G57" s="4">
        <v>2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3</v>
      </c>
      <c r="F58" s="2" t="s">
        <v>6</v>
      </c>
      <c r="G58" s="4">
        <v>2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❌ Errou</v>
      </c>
      <c r="J58" s="2">
        <f>IF(OR(E58="",G58="",'Fase de Grupos'!F58="",'Fase de Grupos'!H58=""),"",IF(AND(E58='Fase de Grupos'!F58,G58='Fase de Grupos'!H58),5,IF(SIGN(E58-G58)=SIGN('Fase de Grupos'!F58-'Fase de Grupos'!H58),3,0)))</f>
        <v>0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1</v>
      </c>
      <c r="F59" s="2" t="s">
        <v>6</v>
      </c>
      <c r="G59" s="4">
        <v>3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✅ Placar exato!</v>
      </c>
      <c r="J59" s="2">
        <f>IF(OR(E59="",G59="",'Fase de Grupos'!F59="",'Fase de Grupos'!H59=""),"",IF(AND(E59='Fase de Grupos'!F59,G59='Fase de Grupos'!H59),5,IF(SIGN(E59-G59)=SIGN('Fase de Grupos'!F59-'Fase de Grupos'!H59),3,0)))</f>
        <v>5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1</v>
      </c>
      <c r="F60" s="2" t="s">
        <v>6</v>
      </c>
      <c r="G60" s="4">
        <v>1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❌ Errou</v>
      </c>
      <c r="J60" s="2">
        <f>IF(OR(E60="",G60="",'Fase de Grupos'!F60="",'Fase de Grupos'!H60=""),"",IF(AND(E60='Fase de Grupos'!F60,G60='Fase de Grupos'!H60),5,IF(SIGN(E60-G60)=SIGN('Fase de Grupos'!F60-'Fase de Grupos'!H60),3,0)))</f>
        <v>0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2</v>
      </c>
      <c r="F61" s="2" t="s">
        <v>6</v>
      </c>
      <c r="G61" s="4">
        <v>2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🟡 Acertou resultado</v>
      </c>
      <c r="J61" s="2">
        <f>IF(OR(E61="",G61="",'Fase de Grupos'!F61="",'Fase de Grupos'!H61=""),"",IF(AND(E61='Fase de Grupos'!F61,G61='Fase de Grupos'!H61),5,IF(SIGN(E61-G61)=SIGN('Fase de Grupos'!F61-'Fase de Grupos'!H61),3,0)))</f>
        <v>3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3</v>
      </c>
      <c r="F62" s="2" t="s">
        <v>6</v>
      </c>
      <c r="G62" s="4">
        <v>3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❌ Errou</v>
      </c>
      <c r="J62" s="2">
        <f>IF(OR(E62="",G62="",'Fase de Grupos'!F62="",'Fase de Grupos'!H62=""),"",IF(AND(E62='Fase de Grupos'!F62,G62='Fase de Grupos'!H62),5,IF(SIGN(E62-G62)=SIGN('Fase de Grupos'!F62-'Fase de Grupos'!H62),3,0)))</f>
        <v>0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2</v>
      </c>
      <c r="F63" s="2" t="s">
        <v>6</v>
      </c>
      <c r="G63" s="4">
        <v>0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🟡 Acertou resultado</v>
      </c>
      <c r="J63" s="2">
        <f>IF(OR(E63="",G63="",'Fase de Grupos'!F63="",'Fase de Grupos'!H63=""),"",IF(AND(E63='Fase de Grupos'!F63,G63='Fase de Grupos'!H63),5,IF(SIGN(E63-G63)=SIGN('Fase de Grupos'!F63-'Fase de Grupos'!H63),3,0)))</f>
        <v>3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2</v>
      </c>
      <c r="F64" s="2" t="s">
        <v>6</v>
      </c>
      <c r="G64" s="4">
        <v>1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❌ Errou</v>
      </c>
      <c r="J64" s="2">
        <f>IF(OR(E64="",G64="",'Fase de Grupos'!F64="",'Fase de Grupos'!H64=""),"",IF(AND(E64='Fase de Grupos'!F64,G64='Fase de Grupos'!H64),5,IF(SIGN(E64-G64)=SIGN('Fase de Grupos'!F64-'Fase de Grupos'!H64),3,0)))</f>
        <v>0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1</v>
      </c>
      <c r="F65" s="2" t="s">
        <v>6</v>
      </c>
      <c r="G65" s="4">
        <v>3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🟡 Acertou resultado</v>
      </c>
      <c r="J65" s="2">
        <f>IF(OR(E65="",G65="",'Fase de Grupos'!F65="",'Fase de Grupos'!H65=""),"",IF(AND(E65='Fase de Grupos'!F65,G65='Fase de Grupos'!H65),5,IF(SIGN(E65-G65)=SIGN('Fase de Grupos'!F65-'Fase de Grupos'!H65),3,0)))</f>
        <v>3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1</v>
      </c>
      <c r="F66" s="2" t="s">
        <v>6</v>
      </c>
      <c r="G66" s="4">
        <v>1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🟡 Acertou resultado</v>
      </c>
      <c r="J66" s="2">
        <f>IF(OR(E66="",G66="",'Fase de Grupos'!F66="",'Fase de Grupos'!H66=""),"",IF(AND(E66='Fase de Grupos'!F66,G66='Fase de Grupos'!H66),5,IF(SIGN(E66-G66)=SIGN('Fase de Grupos'!F66-'Fase de Grupos'!H66),3,0)))</f>
        <v>3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2</v>
      </c>
      <c r="F67" s="2" t="s">
        <v>6</v>
      </c>
      <c r="G67" s="4">
        <v>2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❌ Errou</v>
      </c>
      <c r="J67" s="2">
        <f>IF(OR(E67="",G67="",'Fase de Grupos'!F67="",'Fase de Grupos'!H67=""),"",IF(AND(E67='Fase de Grupos'!F67,G67='Fase de Grupos'!H67),5,IF(SIGN(E67-G67)=SIGN('Fase de Grupos'!F67-'Fase de Grupos'!H67),3,0)))</f>
        <v>0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1</v>
      </c>
      <c r="F68" s="2" t="s">
        <v>6</v>
      </c>
      <c r="G68" s="4">
        <v>5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1</v>
      </c>
      <c r="F69" s="2" t="s">
        <v>6</v>
      </c>
      <c r="G69" s="4">
        <v>1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❌ Errou</v>
      </c>
      <c r="J69" s="2">
        <f>IF(OR(E69="",G69="",'Fase de Grupos'!F69="",'Fase de Grupos'!H69=""),"",IF(AND(E69='Fase de Grupos'!F69,G69='Fase de Grupos'!H69),5,IF(SIGN(E69-G69)=SIGN('Fase de Grupos'!F69-'Fase de Grupos'!H69),3,0)))</f>
        <v>0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2</v>
      </c>
      <c r="F70" s="2" t="s">
        <v>6</v>
      </c>
      <c r="G70" s="4">
        <v>1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❌ Errou</v>
      </c>
      <c r="J70" s="2">
        <f>IF(OR(E70="",G70="",'Fase de Grupos'!F70="",'Fase de Grupos'!H70=""),"",IF(AND(E70='Fase de Grupos'!F70,G70='Fase de Grupos'!H70),5,IF(SIGN(E70-G70)=SIGN('Fase de Grupos'!F70-'Fase de Grupos'!H70),3,0)))</f>
        <v>0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0</v>
      </c>
      <c r="F71" s="2" t="s">
        <v>6</v>
      </c>
      <c r="G71" s="4">
        <v>2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🟡 Acertou resultado</v>
      </c>
      <c r="J71" s="2">
        <f>IF(OR(E71="",G71="",'Fase de Grupos'!F71="",'Fase de Grupos'!H71=""),"",IF(AND(E71='Fase de Grupos'!F71,G71='Fase de Grupos'!H71),5,IF(SIGN(E71-G71)=SIGN('Fase de Grupos'!F71-'Fase de Grupos'!H71),3,0)))</f>
        <v>3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1</v>
      </c>
      <c r="F72" s="2" t="s">
        <v>6</v>
      </c>
      <c r="G72" s="4">
        <v>2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❌ Errou</v>
      </c>
      <c r="J72" s="2">
        <f>IF(OR(E72="",G72="",'Fase de Grupos'!F72="",'Fase de Grupos'!H72=""),"",IF(AND(E72='Fase de Grupos'!F72,G72='Fase de Grupos'!H72),5,IF(SIGN(E72-G72)=SIGN('Fase de Grupos'!F72-'Fase de Grupos'!H72),3,0)))</f>
        <v>0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3</v>
      </c>
      <c r="F73" s="2" t="s">
        <v>6</v>
      </c>
      <c r="G73" s="4">
        <v>0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🟡 Acertou resultado</v>
      </c>
      <c r="J73" s="2">
        <f>IF(OR(E73="",G73="",'Fase de Grupos'!F73="",'Fase de Grupos'!H73=""),"",IF(AND(E73='Fase de Grupos'!F73,G73='Fase de Grupos'!H73),5,IF(SIGN(E73-G73)=SIGN('Fase de Grupos'!F73-'Fase de Grupos'!H73),3,0)))</f>
        <v>3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115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J83"/>
  <sheetViews>
    <sheetView workbookViewId="0">
      <pane ySplit="1" topLeftCell="A2" activePane="bottomLeft" state="frozen"/>
      <selection activeCell="A17" sqref="A17:A48"/>
      <selection pane="bottomLeft" activeCell="A17" sqref="A17:A48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s="23" customFormat="1" x14ac:dyDescent="0.35">
      <c r="A14" s="20">
        <v>13</v>
      </c>
      <c r="B14" s="20" t="s">
        <v>64</v>
      </c>
      <c r="C14" s="20" t="s">
        <v>130</v>
      </c>
      <c r="D14" s="21" t="s">
        <v>67</v>
      </c>
      <c r="E14" s="22">
        <v>3</v>
      </c>
      <c r="F14" s="20" t="s">
        <v>6</v>
      </c>
      <c r="G14" s="22">
        <v>0</v>
      </c>
      <c r="H14" s="21" t="s">
        <v>68</v>
      </c>
      <c r="I14" s="20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❌ Errou</v>
      </c>
      <c r="J14" s="20">
        <f>IF(OR(E14="",G14="",'Fase de Grupos'!F14="",'Fase de Grupos'!H14=""),"",IF(AND(E14='Fase de Grupos'!F14,G14='Fase de Grupos'!H14),5,IF(SIGN(E14-G14)=SIGN('Fase de Grupos'!F14-'Fase de Grupos'!H14),3,0)))</f>
        <v>0</v>
      </c>
    </row>
    <row r="15" spans="1:10" s="23" customFormat="1" x14ac:dyDescent="0.35">
      <c r="A15" s="20">
        <v>14</v>
      </c>
      <c r="B15" s="20" t="s">
        <v>64</v>
      </c>
      <c r="C15" s="20" t="s">
        <v>129</v>
      </c>
      <c r="D15" s="21" t="s">
        <v>71</v>
      </c>
      <c r="E15" s="22">
        <v>2</v>
      </c>
      <c r="F15" s="20" t="s">
        <v>6</v>
      </c>
      <c r="G15" s="22">
        <v>1</v>
      </c>
      <c r="H15" s="21" t="s">
        <v>72</v>
      </c>
      <c r="I15" s="20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❌ Errou</v>
      </c>
      <c r="J15" s="20">
        <f>IF(OR(E15="",G15="",'Fase de Grupos'!F15="",'Fase de Grupos'!H15=""),"",IF(AND(E15='Fase de Grupos'!F15,G15='Fase de Grupos'!H15),5,IF(SIGN(E15-G15)=SIGN('Fase de Grupos'!F15-'Fase de Grupos'!H15),3,0)))</f>
        <v>0</v>
      </c>
    </row>
    <row r="16" spans="1:10" s="23" customFormat="1" x14ac:dyDescent="0.35">
      <c r="A16" s="20">
        <v>15</v>
      </c>
      <c r="B16" s="20" t="s">
        <v>64</v>
      </c>
      <c r="C16" s="20" t="s">
        <v>130</v>
      </c>
      <c r="D16" s="21" t="s">
        <v>74</v>
      </c>
      <c r="E16" s="22">
        <v>0</v>
      </c>
      <c r="F16" s="20" t="s">
        <v>6</v>
      </c>
      <c r="G16" s="22">
        <v>2</v>
      </c>
      <c r="H16" s="21" t="s">
        <v>75</v>
      </c>
      <c r="I16" s="20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❌ Errou</v>
      </c>
      <c r="J16" s="20">
        <f>IF(OR(E16="",G16="",'Fase de Grupos'!F16="",'Fase de Grupos'!H16=""),"",IF(AND(E16='Fase de Grupos'!F16,G16='Fase de Grupos'!H16),5,IF(SIGN(E16-G16)=SIGN('Fase de Grupos'!F16-'Fase de Grupos'!H16),3,0)))</f>
        <v>0</v>
      </c>
    </row>
    <row r="17" spans="1:10" s="23" customFormat="1" x14ac:dyDescent="0.35">
      <c r="A17" s="20">
        <v>16</v>
      </c>
      <c r="B17" s="20" t="s">
        <v>64</v>
      </c>
      <c r="C17" s="20" t="s">
        <v>129</v>
      </c>
      <c r="D17" s="21" t="s">
        <v>77</v>
      </c>
      <c r="E17" s="22">
        <v>2</v>
      </c>
      <c r="F17" s="20" t="s">
        <v>6</v>
      </c>
      <c r="G17" s="22">
        <v>0</v>
      </c>
      <c r="H17" s="21" t="s">
        <v>78</v>
      </c>
      <c r="I17" s="20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❌ Errou</v>
      </c>
      <c r="J17" s="20">
        <f>IF(OR(E17="",G17="",'Fase de Grupos'!F17="",'Fase de Grupos'!H17=""),"",IF(AND(E17='Fase de Grupos'!F17,G17='Fase de Grupos'!H17),5,IF(SIGN(E17-G17)=SIGN('Fase de Grupos'!F17-'Fase de Grupos'!H17),3,0)))</f>
        <v>0</v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2</v>
      </c>
      <c r="F18" s="2" t="s">
        <v>6</v>
      </c>
      <c r="G18" s="4">
        <v>1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🟡 Acertou resultado</v>
      </c>
      <c r="J18" s="2">
        <f>IF(OR(E18="",G18="",'Fase de Grupos'!F18="",'Fase de Grupos'!H18=""),"",IF(AND(E18='Fase de Grupos'!F18,G18='Fase de Grupos'!H18),5,IF(SIGN(E18-G18)=SIGN('Fase de Grupos'!F18-'Fase de Grupos'!H18),3,0)))</f>
        <v>3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0</v>
      </c>
      <c r="F19" s="2" t="s">
        <v>6</v>
      </c>
      <c r="G19" s="4">
        <v>2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🟡 Acertou resultado</v>
      </c>
      <c r="J19" s="2">
        <f>IF(OR(E19="",G19="",'Fase de Grupos'!F19="",'Fase de Grupos'!H19=""),"",IF(AND(E19='Fase de Grupos'!F19,G19='Fase de Grupos'!H19),5,IF(SIGN(E19-G19)=SIGN('Fase de Grupos'!F19-'Fase de Grupos'!H19),3,0)))</f>
        <v>3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3</v>
      </c>
      <c r="F20" s="2" t="s">
        <v>6</v>
      </c>
      <c r="G20" s="4">
        <v>0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✅ Placar exato!</v>
      </c>
      <c r="J20" s="2">
        <f>IF(OR(E20="",G20="",'Fase de Grupos'!F20="",'Fase de Grupos'!H20=""),"",IF(AND(E20='Fase de Grupos'!F20,G20='Fase de Grupos'!H20),5,IF(SIGN(E20-G20)=SIGN('Fase de Grupos'!F20-'Fase de Grupos'!H20),3,0)))</f>
        <v>5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2</v>
      </c>
      <c r="F21" s="2" t="s">
        <v>6</v>
      </c>
      <c r="G21" s="4">
        <v>0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🟡 Acertou resultado</v>
      </c>
      <c r="J21" s="2">
        <f>IF(OR(E21="",G21="",'Fase de Grupos'!F21="",'Fase de Grupos'!H21=""),"",IF(AND(E21='Fase de Grupos'!F21,G21='Fase de Grupos'!H21),5,IF(SIGN(E21-G21)=SIGN('Fase de Grupos'!F21-'Fase de Grupos'!H21),3,0)))</f>
        <v>3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3</v>
      </c>
      <c r="F22" s="2" t="s">
        <v>6</v>
      </c>
      <c r="G22" s="4">
        <v>0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2</v>
      </c>
      <c r="F23" s="2" t="s">
        <v>6</v>
      </c>
      <c r="G23" s="4">
        <v>1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🟡 Acertou resultado</v>
      </c>
      <c r="J23" s="2">
        <f>IF(OR(E23="",G23="",'Fase de Grupos'!F23="",'Fase de Grupos'!H23=""),"",IF(AND(E23='Fase de Grupos'!F23,G23='Fase de Grupos'!H23),5,IF(SIGN(E23-G23)=SIGN('Fase de Grupos'!F23-'Fase de Grupos'!H23),3,0)))</f>
        <v>3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1</v>
      </c>
      <c r="F24" s="2" t="s">
        <v>6</v>
      </c>
      <c r="G24" s="4">
        <v>1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❌ Errou</v>
      </c>
      <c r="J24" s="2">
        <f>IF(OR(E24="",G24="",'Fase de Grupos'!F24="",'Fase de Grupos'!H24=""),"",IF(AND(E24='Fase de Grupos'!F24,G24='Fase de Grupos'!H24),5,IF(SIGN(E24-G24)=SIGN('Fase de Grupos'!F24-'Fase de Grupos'!H24),3,0)))</f>
        <v>0</v>
      </c>
    </row>
    <row r="25" spans="1:10" x14ac:dyDescent="0.35">
      <c r="A25" s="2">
        <v>24</v>
      </c>
      <c r="B25" s="2" t="s">
        <v>89</v>
      </c>
      <c r="C25" s="2" t="s">
        <v>133</v>
      </c>
      <c r="D25" s="3" t="s">
        <v>100</v>
      </c>
      <c r="E25" s="4">
        <v>1</v>
      </c>
      <c r="F25" s="2" t="s">
        <v>6</v>
      </c>
      <c r="G25" s="4">
        <v>2</v>
      </c>
      <c r="H25" s="3" t="s">
        <v>101</v>
      </c>
      <c r="I25" s="2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🟡 Acertou resultado</v>
      </c>
      <c r="J25" s="2">
        <f>IF(OR(E25="",G25="",'Fase de Grupos'!F25="",'Fase de Grupos'!H25=""),"",IF(AND(E25='Fase de Grupos'!F25,G25='Fase de Grupos'!H25),5,IF(SIGN(E25-G25)=SIGN('Fase de Grupos'!F25-'Fase de Grupos'!H25),3,0)))</f>
        <v>3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2</v>
      </c>
      <c r="F26" s="2" t="s">
        <v>6</v>
      </c>
      <c r="G26" s="4">
        <v>0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❌ Errou</v>
      </c>
      <c r="J26" s="2">
        <f>IF(OR(E26="",G26="",'Fase de Grupos'!F26="",'Fase de Grupos'!H26=""),"",IF(AND(E26='Fase de Grupos'!F26,G26='Fase de Grupos'!H26),5,IF(SIGN(E26-G26)=SIGN('Fase de Grupos'!F26-'Fase de Grupos'!H26),3,0)))</f>
        <v>0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2</v>
      </c>
      <c r="F27" s="2" t="s">
        <v>6</v>
      </c>
      <c r="G27" s="4">
        <v>1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🟡 Acertou resultado</v>
      </c>
      <c r="J27" s="2">
        <f>IF(OR(E27="",G27="",'Fase de Grupos'!F27="",'Fase de Grupos'!H27=""),"",IF(AND(E27='Fase de Grupos'!F27,G27='Fase de Grupos'!H27),5,IF(SIGN(E27-G27)=SIGN('Fase de Grupos'!F27-'Fase de Grupos'!H27),3,0)))</f>
        <v>3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2</v>
      </c>
      <c r="F28" s="2" t="s">
        <v>6</v>
      </c>
      <c r="G28" s="4">
        <v>1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🟡 Acertou resultado</v>
      </c>
      <c r="J28" s="2">
        <f>IF(OR(E28="",G28="",'Fase de Grupos'!F28="",'Fase de Grupos'!H28=""),"",IF(AND(E28='Fase de Grupos'!F28,G28='Fase de Grupos'!H28),5,IF(SIGN(E28-G28)=SIGN('Fase de Grupos'!F28-'Fase de Grupos'!H28),3,0)))</f>
        <v>3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1</v>
      </c>
      <c r="F29" s="2" t="s">
        <v>6</v>
      </c>
      <c r="G29" s="4">
        <v>1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❌ Errou</v>
      </c>
      <c r="J29" s="2">
        <f>IF(OR(E29="",G29="",'Fase de Grupos'!F29="",'Fase de Grupos'!H29=""),"",IF(AND(E29='Fase de Grupos'!F29,G29='Fase de Grupos'!H29),5,IF(SIGN(E29-G29)=SIGN('Fase de Grupos'!F29-'Fase de Grupos'!H29),3,0)))</f>
        <v>0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2</v>
      </c>
      <c r="F30" s="2" t="s">
        <v>6</v>
      </c>
      <c r="G30" s="4">
        <v>1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🟡 Acertou resultado</v>
      </c>
      <c r="J30" s="2">
        <f>IF(OR(E30="",G30="",'Fase de Grupos'!F30="",'Fase de Grupos'!H30=""),"",IF(AND(E30='Fase de Grupos'!F30,G30='Fase de Grupos'!H30),5,IF(SIGN(E30-G30)=SIGN('Fase de Grupos'!F30-'Fase de Grupos'!H30),3,0)))</f>
        <v>3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1</v>
      </c>
      <c r="F31" s="2" t="s">
        <v>6</v>
      </c>
      <c r="G31" s="4">
        <v>2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🟡 Acertou resultado</v>
      </c>
      <c r="J31" s="2">
        <f>IF(OR(E31="",G31="",'Fase de Grupos'!F31="",'Fase de Grupos'!H31=""),"",IF(AND(E31='Fase de Grupos'!F31,G31='Fase de Grupos'!H31),5,IF(SIGN(E31-G31)=SIGN('Fase de Grupos'!F31-'Fase de Grupos'!H31),3,0)))</f>
        <v>3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4</v>
      </c>
      <c r="F32" s="2" t="s">
        <v>6</v>
      </c>
      <c r="G32" s="4">
        <v>0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🟡 Acertou resultado</v>
      </c>
      <c r="J32" s="2">
        <f>IF(OR(E32="",G32="",'Fase de Grupos'!F32="",'Fase de Grupos'!H32=""),"",IF(AND(E32='Fase de Grupos'!F32,G32='Fase de Grupos'!H32),5,IF(SIGN(E32-G32)=SIGN('Fase de Grupos'!F32-'Fase de Grupos'!H32),3,0)))</f>
        <v>3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2</v>
      </c>
      <c r="F33" s="2" t="s">
        <v>6</v>
      </c>
      <c r="G33" s="4">
        <v>1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❌ Errou</v>
      </c>
      <c r="J33" s="2">
        <f>IF(OR(E33="",G33="",'Fase de Grupos'!F33="",'Fase de Grupos'!H33=""),"",IF(AND(E33='Fase de Grupos'!F33,G33='Fase de Grupos'!H33),5,IF(SIGN(E33-G33)=SIGN('Fase de Grupos'!F33-'Fase de Grupos'!H33),3,0)))</f>
        <v>0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3</v>
      </c>
      <c r="F34" s="2" t="s">
        <v>6</v>
      </c>
      <c r="G34" s="4">
        <v>1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🟡 Acertou resultado</v>
      </c>
      <c r="J34" s="2">
        <f>IF(OR(E34="",G34="",'Fase de Grupos'!F34="",'Fase de Grupos'!H34=""),"",IF(AND(E34='Fase de Grupos'!F34,G34='Fase de Grupos'!H34),5,IF(SIGN(E34-G34)=SIGN('Fase de Grupos'!F34-'Fase de Grupos'!H34),3,0)))</f>
        <v>3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2</v>
      </c>
      <c r="F35" s="2" t="s">
        <v>6</v>
      </c>
      <c r="G35" s="4">
        <v>0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❌ Errou</v>
      </c>
      <c r="J35" s="2">
        <f>IF(OR(E35="",G35="",'Fase de Grupos'!F35="",'Fase de Grupos'!H35=""),"",IF(AND(E35='Fase de Grupos'!F35,G35='Fase de Grupos'!H35),5,IF(SIGN(E35-G35)=SIGN('Fase de Grupos'!F35-'Fase de Grupos'!H35),3,0)))</f>
        <v>0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2</v>
      </c>
      <c r="F36" s="2" t="s">
        <v>6</v>
      </c>
      <c r="G36" s="4">
        <v>2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❌ Errou</v>
      </c>
      <c r="J36" s="2">
        <f>IF(OR(E36="",G36="",'Fase de Grupos'!F36="",'Fase de Grupos'!H36=""),"",IF(AND(E36='Fase de Grupos'!F36,G36='Fase de Grupos'!H36),5,IF(SIGN(E36-G36)=SIGN('Fase de Grupos'!F36-'Fase de Grupos'!H36),3,0)))</f>
        <v>0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1</v>
      </c>
      <c r="F37" s="2" t="s">
        <v>6</v>
      </c>
      <c r="G37" s="4">
        <v>2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🟡 Acertou resultado</v>
      </c>
      <c r="J37" s="2">
        <f>IF(OR(E37="",G37="",'Fase de Grupos'!F37="",'Fase de Grupos'!H37=""),"",IF(AND(E37='Fase de Grupos'!F37,G37='Fase de Grupos'!H37),5,IF(SIGN(E37-G37)=SIGN('Fase de Grupos'!F37-'Fase de Grupos'!H37),3,0)))</f>
        <v>3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3</v>
      </c>
      <c r="F38" s="2" t="s">
        <v>6</v>
      </c>
      <c r="G38" s="4">
        <v>0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🟡 Acertou resultado</v>
      </c>
      <c r="J38" s="2">
        <f>IF(OR(E38="",G38="",'Fase de Grupos'!F38="",'Fase de Grupos'!H38=""),"",IF(AND(E38='Fase de Grupos'!F38,G38='Fase de Grupos'!H38),5,IF(SIGN(E38-G38)=SIGN('Fase de Grupos'!F38-'Fase de Grupos'!H38),3,0)))</f>
        <v>3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2</v>
      </c>
      <c r="F39" s="2" t="s">
        <v>6</v>
      </c>
      <c r="G39" s="4">
        <v>0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❌ Errou</v>
      </c>
      <c r="J39" s="2">
        <f>IF(OR(E39="",G39="",'Fase de Grupos'!F39="",'Fase de Grupos'!H39=""),"",IF(AND(E39='Fase de Grupos'!F39,G39='Fase de Grupos'!H39),5,IF(SIGN(E39-G39)=SIGN('Fase de Grupos'!F39-'Fase de Grupos'!H39),3,0)))</f>
        <v>0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2</v>
      </c>
      <c r="F40" s="2" t="s">
        <v>6</v>
      </c>
      <c r="G40" s="4">
        <v>0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1</v>
      </c>
      <c r="F41" s="2" t="s">
        <v>6</v>
      </c>
      <c r="G41" s="4">
        <v>1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❌ Errou</v>
      </c>
      <c r="J41" s="2">
        <f>IF(OR(E41="",G41="",'Fase de Grupos'!F41="",'Fase de Grupos'!H41=""),"",IF(AND(E41='Fase de Grupos'!F41,G41='Fase de Grupos'!H41),5,IF(SIGN(E41-G41)=SIGN('Fase de Grupos'!F41-'Fase de Grupos'!H41),3,0)))</f>
        <v>0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3</v>
      </c>
      <c r="F42" s="2" t="s">
        <v>6</v>
      </c>
      <c r="G42" s="4">
        <v>0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✅ Placar exato!</v>
      </c>
      <c r="J42" s="2">
        <f>IF(OR(E42="",G42="",'Fase de Grupos'!F42="",'Fase de Grupos'!H42=""),"",IF(AND(E42='Fase de Grupos'!F42,G42='Fase de Grupos'!H42),5,IF(SIGN(E42-G42)=SIGN('Fase de Grupos'!F42-'Fase de Grupos'!H42),3,0)))</f>
        <v>5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1</v>
      </c>
      <c r="F43" s="2" t="s">
        <v>6</v>
      </c>
      <c r="G43" s="4">
        <v>1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❌ Errou</v>
      </c>
      <c r="J43" s="2">
        <f>IF(OR(E43="",G43="",'Fase de Grupos'!F43="",'Fase de Grupos'!H43=""),"",IF(AND(E43='Fase de Grupos'!F43,G43='Fase de Grupos'!H43),5,IF(SIGN(E43-G43)=SIGN('Fase de Grupos'!F43-'Fase de Grupos'!H43),3,0)))</f>
        <v>0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2</v>
      </c>
      <c r="F44" s="2" t="s">
        <v>6</v>
      </c>
      <c r="G44" s="4">
        <v>0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✅ Placar exato!</v>
      </c>
      <c r="J44" s="2">
        <f>IF(OR(E44="",G44="",'Fase de Grupos'!F44="",'Fase de Grupos'!H44=""),"",IF(AND(E44='Fase de Grupos'!F44,G44='Fase de Grupos'!H44),5,IF(SIGN(E44-G44)=SIGN('Fase de Grupos'!F44-'Fase de Grupos'!H44),3,0)))</f>
        <v>5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1</v>
      </c>
      <c r="F45" s="2" t="s">
        <v>6</v>
      </c>
      <c r="G45" s="4">
        <v>2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✅ Placar exato!</v>
      </c>
      <c r="J45" s="2">
        <f>IF(OR(E45="",G45="",'Fase de Grupos'!F45="",'Fase de Grupos'!H45=""),"",IF(AND(E45='Fase de Grupos'!F45,G45='Fase de Grupos'!H45),5,IF(SIGN(E45-G45)=SIGN('Fase de Grupos'!F45-'Fase de Grupos'!H45),3,0)))</f>
        <v>5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2</v>
      </c>
      <c r="F46" s="2" t="s">
        <v>6</v>
      </c>
      <c r="G46" s="4">
        <v>0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❌ Errou</v>
      </c>
      <c r="J46" s="2">
        <f>IF(OR(E46="",G46="",'Fase de Grupos'!F46="",'Fase de Grupos'!H46=""),"",IF(AND(E46='Fase de Grupos'!F46,G46='Fase de Grupos'!H46),5,IF(SIGN(E46-G46)=SIGN('Fase de Grupos'!F46-'Fase de Grupos'!H46),3,0)))</f>
        <v>0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1</v>
      </c>
      <c r="F47" s="2" t="s">
        <v>6</v>
      </c>
      <c r="G47" s="4">
        <v>2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🟡 Acertou resultado</v>
      </c>
      <c r="J47" s="2">
        <f>IF(OR(E47="",G47="",'Fase de Grupos'!F47="",'Fase de Grupos'!H47=""),"",IF(AND(E47='Fase de Grupos'!F47,G47='Fase de Grupos'!H47),5,IF(SIGN(E47-G47)=SIGN('Fase de Grupos'!F47-'Fase de Grupos'!H47),3,0)))</f>
        <v>3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3</v>
      </c>
      <c r="F48" s="2" t="s">
        <v>6</v>
      </c>
      <c r="G48" s="4">
        <v>0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2</v>
      </c>
      <c r="F49" s="2" t="s">
        <v>6</v>
      </c>
      <c r="G49" s="4">
        <v>0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🟡 Acertou resultado</v>
      </c>
      <c r="J49" s="2">
        <f>IF(OR(E49="",G49="",'Fase de Grupos'!F49="",'Fase de Grupos'!H49=""),"",IF(AND(E49='Fase de Grupos'!F49,G49='Fase de Grupos'!H49),5,IF(SIGN(E49-G49)=SIGN('Fase de Grupos'!F49-'Fase de Grupos'!H49),3,0)))</f>
        <v>3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1</v>
      </c>
      <c r="F50" s="2" t="s">
        <v>6</v>
      </c>
      <c r="G50" s="4">
        <v>2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🟡 Acertou resultado</v>
      </c>
      <c r="J50" s="2">
        <f>IF(OR(E50="",G50="",'Fase de Grupos'!F50="",'Fase de Grupos'!H50=""),"",IF(AND(E50='Fase de Grupos'!F50,G50='Fase de Grupos'!H50),5,IF(SIGN(E50-G50)=SIGN('Fase de Grupos'!F50-'Fase de Grupos'!H50),3,0)))</f>
        <v>3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3</v>
      </c>
      <c r="F51" s="2" t="s">
        <v>6</v>
      </c>
      <c r="G51" s="4">
        <v>0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🟡 Acertou resultado</v>
      </c>
      <c r="J51" s="2">
        <f>IF(OR(E51="",G51="",'Fase de Grupos'!F51="",'Fase de Grupos'!H51=""),"",IF(AND(E51='Fase de Grupos'!F51,G51='Fase de Grupos'!H51),5,IF(SIGN(E51-G51)=SIGN('Fase de Grupos'!F51-'Fase de Grupos'!H51),3,0)))</f>
        <v>3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1</v>
      </c>
      <c r="F52" s="2" t="s">
        <v>6</v>
      </c>
      <c r="G52" s="4">
        <v>1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❌ Errou</v>
      </c>
      <c r="J52" s="2">
        <f>IF(OR(E52="",G52="",'Fase de Grupos'!F52="",'Fase de Grupos'!H52=""),"",IF(AND(E52='Fase de Grupos'!F52,G52='Fase de Grupos'!H52),5,IF(SIGN(E52-G52)=SIGN('Fase de Grupos'!F52-'Fase de Grupos'!H52),3,0)))</f>
        <v>0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2</v>
      </c>
      <c r="F53" s="2" t="s">
        <v>6</v>
      </c>
      <c r="G53" s="4">
        <v>1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🟡 Acertou resultado</v>
      </c>
      <c r="J53" s="2">
        <f>IF(OR(E53="",G53="",'Fase de Grupos'!F53="",'Fase de Grupos'!H53=""),"",IF(AND(E53='Fase de Grupos'!F53,G53='Fase de Grupos'!H53),5,IF(SIGN(E53-G53)=SIGN('Fase de Grupos'!F53-'Fase de Grupos'!H53),3,0)))</f>
        <v>3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1</v>
      </c>
      <c r="F54" s="2" t="s">
        <v>6</v>
      </c>
      <c r="G54" s="4">
        <v>2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🟡 Acertou resultado</v>
      </c>
      <c r="J54" s="2">
        <f>IF(OR(E54="",G54="",'Fase de Grupos'!F54="",'Fase de Grupos'!H54=""),"",IF(AND(E54='Fase de Grupos'!F54,G54='Fase de Grupos'!H54),5,IF(SIGN(E54-G54)=SIGN('Fase de Grupos'!F54-'Fase de Grupos'!H54),3,0)))</f>
        <v>3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0</v>
      </c>
      <c r="F55" s="2" t="s">
        <v>6</v>
      </c>
      <c r="G55" s="4">
        <v>2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❌ Errou</v>
      </c>
      <c r="J55" s="2">
        <f>IF(OR(E55="",G55="",'Fase de Grupos'!F55="",'Fase de Grupos'!H55=""),"",IF(AND(E55='Fase de Grupos'!F55,G55='Fase de Grupos'!H55),5,IF(SIGN(E55-G55)=SIGN('Fase de Grupos'!F55-'Fase de Grupos'!H55),3,0)))</f>
        <v>0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1</v>
      </c>
      <c r="F56" s="2" t="s">
        <v>6</v>
      </c>
      <c r="G56" s="4">
        <v>3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🟡 Acertou resultado</v>
      </c>
      <c r="J56" s="2">
        <f>IF(OR(E56="",G56="",'Fase de Grupos'!F56="",'Fase de Grupos'!H56=""),"",IF(AND(E56='Fase de Grupos'!F56,G56='Fase de Grupos'!H56),5,IF(SIGN(E56-G56)=SIGN('Fase de Grupos'!F56-'Fase de Grupos'!H56),3,0)))</f>
        <v>3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1</v>
      </c>
      <c r="F57" s="2" t="s">
        <v>6</v>
      </c>
      <c r="G57" s="4">
        <v>1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1</v>
      </c>
      <c r="F58" s="2" t="s">
        <v>6</v>
      </c>
      <c r="G58" s="4">
        <v>2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❌ Errou</v>
      </c>
      <c r="J58" s="2">
        <f>IF(OR(E58="",G58="",'Fase de Grupos'!F58="",'Fase de Grupos'!H58=""),"",IF(AND(E58='Fase de Grupos'!F58,G58='Fase de Grupos'!H58),5,IF(SIGN(E58-G58)=SIGN('Fase de Grupos'!F58-'Fase de Grupos'!H58),3,0)))</f>
        <v>0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0</v>
      </c>
      <c r="F59" s="2" t="s">
        <v>6</v>
      </c>
      <c r="G59" s="4">
        <v>2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🟡 Acertou resultado</v>
      </c>
      <c r="J59" s="2">
        <f>IF(OR(E59="",G59="",'Fase de Grupos'!F59="",'Fase de Grupos'!H59=""),"",IF(AND(E59='Fase de Grupos'!F59,G59='Fase de Grupos'!H59),5,IF(SIGN(E59-G59)=SIGN('Fase de Grupos'!F59-'Fase de Grupos'!H59),3,0)))</f>
        <v>3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1</v>
      </c>
      <c r="F60" s="2" t="s">
        <v>6</v>
      </c>
      <c r="G60" s="4">
        <v>1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❌ Errou</v>
      </c>
      <c r="J60" s="2">
        <f>IF(OR(E60="",G60="",'Fase de Grupos'!F60="",'Fase de Grupos'!H60=""),"",IF(AND(E60='Fase de Grupos'!F60,G60='Fase de Grupos'!H60),5,IF(SIGN(E60-G60)=SIGN('Fase de Grupos'!F60-'Fase de Grupos'!H60),3,0)))</f>
        <v>0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1</v>
      </c>
      <c r="F61" s="2" t="s">
        <v>6</v>
      </c>
      <c r="G61" s="4">
        <v>2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❌ Errou</v>
      </c>
      <c r="J61" s="2">
        <f>IF(OR(E61="",G61="",'Fase de Grupos'!F61="",'Fase de Grupos'!H61=""),"",IF(AND(E61='Fase de Grupos'!F61,G61='Fase de Grupos'!H61),5,IF(SIGN(E61-G61)=SIGN('Fase de Grupos'!F61-'Fase de Grupos'!H61),3,0)))</f>
        <v>0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1</v>
      </c>
      <c r="F62" s="2" t="s">
        <v>6</v>
      </c>
      <c r="G62" s="4">
        <v>2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🟡 Acertou resultado</v>
      </c>
      <c r="J62" s="2">
        <f>IF(OR(E62="",G62="",'Fase de Grupos'!F62="",'Fase de Grupos'!H62=""),"",IF(AND(E62='Fase de Grupos'!F62,G62='Fase de Grupos'!H62),5,IF(SIGN(E62-G62)=SIGN('Fase de Grupos'!F62-'Fase de Grupos'!H62),3,0)))</f>
        <v>3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2</v>
      </c>
      <c r="F63" s="2" t="s">
        <v>6</v>
      </c>
      <c r="G63" s="4">
        <v>0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🟡 Acertou resultado</v>
      </c>
      <c r="J63" s="2">
        <f>IF(OR(E63="",G63="",'Fase de Grupos'!F63="",'Fase de Grupos'!H63=""),"",IF(AND(E63='Fase de Grupos'!F63,G63='Fase de Grupos'!H63),5,IF(SIGN(E63-G63)=SIGN('Fase de Grupos'!F63-'Fase de Grupos'!H63),3,0)))</f>
        <v>3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1</v>
      </c>
      <c r="F64" s="2" t="s">
        <v>6</v>
      </c>
      <c r="G64" s="4">
        <v>1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✅ Placar exato!</v>
      </c>
      <c r="J64" s="2">
        <f>IF(OR(E64="",G64="",'Fase de Grupos'!F64="",'Fase de Grupos'!H64=""),"",IF(AND(E64='Fase de Grupos'!F64,G64='Fase de Grupos'!H64),5,IF(SIGN(E64-G64)=SIGN('Fase de Grupos'!F64-'Fase de Grupos'!H64),3,0)))</f>
        <v>5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0</v>
      </c>
      <c r="F65" s="2" t="s">
        <v>6</v>
      </c>
      <c r="G65" s="4">
        <v>2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🟡 Acertou resultado</v>
      </c>
      <c r="J65" s="2">
        <f>IF(OR(E65="",G65="",'Fase de Grupos'!F65="",'Fase de Grupos'!H65=""),"",IF(AND(E65='Fase de Grupos'!F65,G65='Fase de Grupos'!H65),5,IF(SIGN(E65-G65)=SIGN('Fase de Grupos'!F65-'Fase de Grupos'!H65),3,0)))</f>
        <v>3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1</v>
      </c>
      <c r="F66" s="2" t="s">
        <v>6</v>
      </c>
      <c r="G66" s="4">
        <v>2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❌ Errou</v>
      </c>
      <c r="J66" s="2">
        <f>IF(OR(E66="",G66="",'Fase de Grupos'!F66="",'Fase de Grupos'!H66=""),"",IF(AND(E66='Fase de Grupos'!F66,G66='Fase de Grupos'!H66),5,IF(SIGN(E66-G66)=SIGN('Fase de Grupos'!F66-'Fase de Grupos'!H66),3,0)))</f>
        <v>0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1</v>
      </c>
      <c r="F67" s="2" t="s">
        <v>6</v>
      </c>
      <c r="G67" s="4">
        <v>2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🟡 Acertou resultado</v>
      </c>
      <c r="J67" s="2">
        <f>IF(OR(E67="",G67="",'Fase de Grupos'!F67="",'Fase de Grupos'!H67=""),"",IF(AND(E67='Fase de Grupos'!F67,G67='Fase de Grupos'!H67),5,IF(SIGN(E67-G67)=SIGN('Fase de Grupos'!F67-'Fase de Grupos'!H67),3,0)))</f>
        <v>3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0</v>
      </c>
      <c r="F68" s="2" t="s">
        <v>6</v>
      </c>
      <c r="G68" s="4">
        <v>3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2</v>
      </c>
      <c r="F69" s="2" t="s">
        <v>6</v>
      </c>
      <c r="G69" s="4">
        <v>1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✅ Placar exato!</v>
      </c>
      <c r="J69" s="2">
        <f>IF(OR(E69="",G69="",'Fase de Grupos'!F69="",'Fase de Grupos'!H69=""),"",IF(AND(E69='Fase de Grupos'!F69,G69='Fase de Grupos'!H69),5,IF(SIGN(E69-G69)=SIGN('Fase de Grupos'!F69-'Fase de Grupos'!H69),3,0)))</f>
        <v>5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1</v>
      </c>
      <c r="F70" s="2" t="s">
        <v>6</v>
      </c>
      <c r="G70" s="4">
        <v>1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🟡 Acertou resultado</v>
      </c>
      <c r="J70" s="2">
        <f>IF(OR(E70="",G70="",'Fase de Grupos'!F70="",'Fase de Grupos'!H70=""),"",IF(AND(E70='Fase de Grupos'!F70,G70='Fase de Grupos'!H70),5,IF(SIGN(E70-G70)=SIGN('Fase de Grupos'!F70-'Fase de Grupos'!H70),3,0)))</f>
        <v>3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0</v>
      </c>
      <c r="F71" s="2" t="s">
        <v>6</v>
      </c>
      <c r="G71" s="4">
        <v>3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🟡 Acertou resultado</v>
      </c>
      <c r="J71" s="2">
        <f>IF(OR(E71="",G71="",'Fase de Grupos'!F71="",'Fase de Grupos'!H71=""),"",IF(AND(E71='Fase de Grupos'!F71,G71='Fase de Grupos'!H71),5,IF(SIGN(E71-G71)=SIGN('Fase de Grupos'!F71-'Fase de Grupos'!H71),3,0)))</f>
        <v>3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1</v>
      </c>
      <c r="F72" s="2" t="s">
        <v>6</v>
      </c>
      <c r="G72" s="4">
        <v>1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🟡 Acertou resultado</v>
      </c>
      <c r="J72" s="2">
        <f>IF(OR(E72="",G72="",'Fase de Grupos'!F72="",'Fase de Grupos'!H72=""),"",IF(AND(E72='Fase de Grupos'!F72,G72='Fase de Grupos'!H72),5,IF(SIGN(E72-G72)=SIGN('Fase de Grupos'!F72-'Fase de Grupos'!H72),3,0)))</f>
        <v>3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1</v>
      </c>
      <c r="F73" s="2" t="s">
        <v>6</v>
      </c>
      <c r="G73" s="4">
        <v>2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❌ Errou</v>
      </c>
      <c r="J73" s="2">
        <f>IF(OR(E73="",G73="",'Fase de Grupos'!F73="",'Fase de Grupos'!H73=""),"",IF(AND(E73='Fase de Grupos'!F73,G73='Fase de Grupos'!H73),5,IF(SIGN(E73-G73)=SIGN('Fase de Grupos'!F73-'Fase de Grupos'!H73),3,0)))</f>
        <v>0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120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A1:J83"/>
  <sheetViews>
    <sheetView workbookViewId="0">
      <pane ySplit="1" topLeftCell="A50" activePane="bottomLeft" state="frozen"/>
      <selection activeCell="A17" sqref="A17:A48"/>
      <selection pane="bottomLeft" activeCell="A17" sqref="A17:A48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s="23" customFormat="1" x14ac:dyDescent="0.35">
      <c r="A14" s="20">
        <v>13</v>
      </c>
      <c r="B14" s="20" t="s">
        <v>64</v>
      </c>
      <c r="C14" s="20" t="s">
        <v>130</v>
      </c>
      <c r="D14" s="21" t="s">
        <v>67</v>
      </c>
      <c r="E14" s="22">
        <v>2</v>
      </c>
      <c r="F14" s="20" t="s">
        <v>6</v>
      </c>
      <c r="G14" s="22">
        <v>0</v>
      </c>
      <c r="H14" s="21" t="s">
        <v>68</v>
      </c>
      <c r="I14" s="20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❌ Errou</v>
      </c>
      <c r="J14" s="20">
        <f>IF(OR(E14="",G14="",'Fase de Grupos'!F14="",'Fase de Grupos'!H14=""),"",IF(AND(E14='Fase de Grupos'!F14,G14='Fase de Grupos'!H14),5,IF(SIGN(E14-G14)=SIGN('Fase de Grupos'!F14-'Fase de Grupos'!H14),3,0)))</f>
        <v>0</v>
      </c>
    </row>
    <row r="15" spans="1:10" s="23" customFormat="1" x14ac:dyDescent="0.35">
      <c r="A15" s="20">
        <v>14</v>
      </c>
      <c r="B15" s="20" t="s">
        <v>64</v>
      </c>
      <c r="C15" s="20" t="s">
        <v>129</v>
      </c>
      <c r="D15" s="21" t="s">
        <v>71</v>
      </c>
      <c r="E15" s="22">
        <v>3</v>
      </c>
      <c r="F15" s="20" t="s">
        <v>6</v>
      </c>
      <c r="G15" s="22">
        <v>1</v>
      </c>
      <c r="H15" s="21" t="s">
        <v>72</v>
      </c>
      <c r="I15" s="20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❌ Errou</v>
      </c>
      <c r="J15" s="20">
        <f>IF(OR(E15="",G15="",'Fase de Grupos'!F15="",'Fase de Grupos'!H15=""),"",IF(AND(E15='Fase de Grupos'!F15,G15='Fase de Grupos'!H15),5,IF(SIGN(E15-G15)=SIGN('Fase de Grupos'!F15-'Fase de Grupos'!H15),3,0)))</f>
        <v>0</v>
      </c>
    </row>
    <row r="16" spans="1:10" s="23" customFormat="1" x14ac:dyDescent="0.35">
      <c r="A16" s="20">
        <v>15</v>
      </c>
      <c r="B16" s="20" t="s">
        <v>64</v>
      </c>
      <c r="C16" s="20" t="s">
        <v>130</v>
      </c>
      <c r="D16" s="21" t="s">
        <v>74</v>
      </c>
      <c r="E16" s="22">
        <v>1</v>
      </c>
      <c r="F16" s="20" t="s">
        <v>6</v>
      </c>
      <c r="G16" s="22">
        <v>2</v>
      </c>
      <c r="H16" s="21" t="s">
        <v>75</v>
      </c>
      <c r="I16" s="20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❌ Errou</v>
      </c>
      <c r="J16" s="20">
        <f>IF(OR(E16="",G16="",'Fase de Grupos'!F16="",'Fase de Grupos'!H16=""),"",IF(AND(E16='Fase de Grupos'!F16,G16='Fase de Grupos'!H16),5,IF(SIGN(E16-G16)=SIGN('Fase de Grupos'!F16-'Fase de Grupos'!H16),3,0)))</f>
        <v>0</v>
      </c>
    </row>
    <row r="17" spans="1:10" s="23" customFormat="1" x14ac:dyDescent="0.35">
      <c r="A17" s="20">
        <v>16</v>
      </c>
      <c r="B17" s="20" t="s">
        <v>64</v>
      </c>
      <c r="C17" s="20" t="s">
        <v>129</v>
      </c>
      <c r="D17" s="21" t="s">
        <v>77</v>
      </c>
      <c r="E17" s="22">
        <v>1</v>
      </c>
      <c r="F17" s="20" t="s">
        <v>6</v>
      </c>
      <c r="G17" s="22">
        <v>0</v>
      </c>
      <c r="H17" s="21" t="s">
        <v>78</v>
      </c>
      <c r="I17" s="20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❌ Errou</v>
      </c>
      <c r="J17" s="20">
        <f>IF(OR(E17="",G17="",'Fase de Grupos'!F17="",'Fase de Grupos'!H17=""),"",IF(AND(E17='Fase de Grupos'!F17,G17='Fase de Grupos'!H17),5,IF(SIGN(E17-G17)=SIGN('Fase de Grupos'!F17-'Fase de Grupos'!H17),3,0)))</f>
        <v>0</v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3</v>
      </c>
      <c r="F18" s="2" t="s">
        <v>6</v>
      </c>
      <c r="G18" s="4">
        <v>0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🟡 Acertou resultado</v>
      </c>
      <c r="J18" s="2">
        <f>IF(OR(E18="",G18="",'Fase de Grupos'!F18="",'Fase de Grupos'!H18=""),"",IF(AND(E18='Fase de Grupos'!F18,G18='Fase de Grupos'!H18),5,IF(SIGN(E18-G18)=SIGN('Fase de Grupos'!F18-'Fase de Grupos'!H18),3,0)))</f>
        <v>3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1</v>
      </c>
      <c r="F19" s="2" t="s">
        <v>6</v>
      </c>
      <c r="G19" s="4">
        <v>2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🟡 Acertou resultado</v>
      </c>
      <c r="J19" s="2">
        <f>IF(OR(E19="",G19="",'Fase de Grupos'!F19="",'Fase de Grupos'!H19=""),"",IF(AND(E19='Fase de Grupos'!F19,G19='Fase de Grupos'!H19),5,IF(SIGN(E19-G19)=SIGN('Fase de Grupos'!F19-'Fase de Grupos'!H19),3,0)))</f>
        <v>3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2</v>
      </c>
      <c r="F20" s="2" t="s">
        <v>6</v>
      </c>
      <c r="G20" s="4">
        <v>0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🟡 Acertou resultado</v>
      </c>
      <c r="J20" s="2">
        <f>IF(OR(E20="",G20="",'Fase de Grupos'!F20="",'Fase de Grupos'!H20=""),"",IF(AND(E20='Fase de Grupos'!F20,G20='Fase de Grupos'!H20),5,IF(SIGN(E20-G20)=SIGN('Fase de Grupos'!F20-'Fase de Grupos'!H20),3,0)))</f>
        <v>3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2</v>
      </c>
      <c r="F21" s="2" t="s">
        <v>6</v>
      </c>
      <c r="G21" s="4">
        <v>1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🟡 Acertou resultado</v>
      </c>
      <c r="J21" s="2">
        <f>IF(OR(E21="",G21="",'Fase de Grupos'!F21="",'Fase de Grupos'!H21=""),"",IF(AND(E21='Fase de Grupos'!F21,G21='Fase de Grupos'!H21),5,IF(SIGN(E21-G21)=SIGN('Fase de Grupos'!F21-'Fase de Grupos'!H21),3,0)))</f>
        <v>3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3</v>
      </c>
      <c r="F22" s="2" t="s">
        <v>6</v>
      </c>
      <c r="G22" s="4">
        <v>0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2</v>
      </c>
      <c r="F23" s="2" t="s">
        <v>6</v>
      </c>
      <c r="G23" s="4">
        <v>1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🟡 Acertou resultado</v>
      </c>
      <c r="J23" s="2">
        <f>IF(OR(E23="",G23="",'Fase de Grupos'!F23="",'Fase de Grupos'!H23=""),"",IF(AND(E23='Fase de Grupos'!F23,G23='Fase de Grupos'!H23),5,IF(SIGN(E23-G23)=SIGN('Fase de Grupos'!F23-'Fase de Grupos'!H23),3,0)))</f>
        <v>3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1</v>
      </c>
      <c r="F24" s="2" t="s">
        <v>6</v>
      </c>
      <c r="G24" s="4">
        <v>2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❌ Errou</v>
      </c>
      <c r="J24" s="2">
        <f>IF(OR(E24="",G24="",'Fase de Grupos'!F24="",'Fase de Grupos'!H24=""),"",IF(AND(E24='Fase de Grupos'!F24,G24='Fase de Grupos'!H24),5,IF(SIGN(E24-G24)=SIGN('Fase de Grupos'!F24-'Fase de Grupos'!H24),3,0)))</f>
        <v>0</v>
      </c>
    </row>
    <row r="25" spans="1:10" x14ac:dyDescent="0.35">
      <c r="A25" s="2">
        <v>24</v>
      </c>
      <c r="B25" s="2" t="s">
        <v>89</v>
      </c>
      <c r="C25" s="2" t="s">
        <v>133</v>
      </c>
      <c r="D25" s="3" t="s">
        <v>100</v>
      </c>
      <c r="E25" s="4">
        <v>0</v>
      </c>
      <c r="F25" s="2" t="s">
        <v>6</v>
      </c>
      <c r="G25" s="4">
        <v>1</v>
      </c>
      <c r="H25" s="3" t="s">
        <v>101</v>
      </c>
      <c r="I25" s="2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🟡 Acertou resultado</v>
      </c>
      <c r="J25" s="2">
        <f>IF(OR(E25="",G25="",'Fase de Grupos'!F25="",'Fase de Grupos'!H25=""),"",IF(AND(E25='Fase de Grupos'!F25,G25='Fase de Grupos'!H25),5,IF(SIGN(E25-G25)=SIGN('Fase de Grupos'!F25-'Fase de Grupos'!H25),3,0)))</f>
        <v>3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2</v>
      </c>
      <c r="F26" s="2" t="s">
        <v>6</v>
      </c>
      <c r="G26" s="4">
        <v>1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❌ Errou</v>
      </c>
      <c r="J26" s="2">
        <f>IF(OR(E26="",G26="",'Fase de Grupos'!F26="",'Fase de Grupos'!H26=""),"",IF(AND(E26='Fase de Grupos'!F26,G26='Fase de Grupos'!H26),5,IF(SIGN(E26-G26)=SIGN('Fase de Grupos'!F26-'Fase de Grupos'!H26),3,0)))</f>
        <v>0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1</v>
      </c>
      <c r="F27" s="2" t="s">
        <v>6</v>
      </c>
      <c r="G27" s="4">
        <v>1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❌ Errou</v>
      </c>
      <c r="J27" s="2">
        <f>IF(OR(E27="",G27="",'Fase de Grupos'!F27="",'Fase de Grupos'!H27=""),"",IF(AND(E27='Fase de Grupos'!F27,G27='Fase de Grupos'!H27),5,IF(SIGN(E27-G27)=SIGN('Fase de Grupos'!F27-'Fase de Grupos'!H27),3,0)))</f>
        <v>0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1</v>
      </c>
      <c r="F28" s="2" t="s">
        <v>6</v>
      </c>
      <c r="G28" s="4">
        <v>0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🟡 Acertou resultado</v>
      </c>
      <c r="J28" s="2">
        <f>IF(OR(E28="",G28="",'Fase de Grupos'!F28="",'Fase de Grupos'!H28=""),"",IF(AND(E28='Fase de Grupos'!F28,G28='Fase de Grupos'!H28),5,IF(SIGN(E28-G28)=SIGN('Fase de Grupos'!F28-'Fase de Grupos'!H28),3,0)))</f>
        <v>3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1</v>
      </c>
      <c r="F29" s="2" t="s">
        <v>6</v>
      </c>
      <c r="G29" s="4">
        <v>1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❌ Errou</v>
      </c>
      <c r="J29" s="2">
        <f>IF(OR(E29="",G29="",'Fase de Grupos'!F29="",'Fase de Grupos'!H29=""),"",IF(AND(E29='Fase de Grupos'!F29,G29='Fase de Grupos'!H29),5,IF(SIGN(E29-G29)=SIGN('Fase de Grupos'!F29-'Fase de Grupos'!H29),3,0)))</f>
        <v>0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2</v>
      </c>
      <c r="F30" s="2" t="s">
        <v>6</v>
      </c>
      <c r="G30" s="4">
        <v>0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✅ Placar exato!</v>
      </c>
      <c r="J30" s="2">
        <f>IF(OR(E30="",G30="",'Fase de Grupos'!F30="",'Fase de Grupos'!H30=""),"",IF(AND(E30='Fase de Grupos'!F30,G30='Fase de Grupos'!H30),5,IF(SIGN(E30-G30)=SIGN('Fase de Grupos'!F30-'Fase de Grupos'!H30),3,0)))</f>
        <v>5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0</v>
      </c>
      <c r="F31" s="2" t="s">
        <v>6</v>
      </c>
      <c r="G31" s="4">
        <v>1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✅ Placar exato!</v>
      </c>
      <c r="J31" s="2">
        <f>IF(OR(E31="",G31="",'Fase de Grupos'!F31="",'Fase de Grupos'!H31=""),"",IF(AND(E31='Fase de Grupos'!F31,G31='Fase de Grupos'!H31),5,IF(SIGN(E31-G31)=SIGN('Fase de Grupos'!F31-'Fase de Grupos'!H31),3,0)))</f>
        <v>5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2</v>
      </c>
      <c r="F32" s="2" t="s">
        <v>6</v>
      </c>
      <c r="G32" s="4">
        <v>0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🟡 Acertou resultado</v>
      </c>
      <c r="J32" s="2">
        <f>IF(OR(E32="",G32="",'Fase de Grupos'!F32="",'Fase de Grupos'!H32=""),"",IF(AND(E32='Fase de Grupos'!F32,G32='Fase de Grupos'!H32),5,IF(SIGN(E32-G32)=SIGN('Fase de Grupos'!F32-'Fase de Grupos'!H32),3,0)))</f>
        <v>3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0</v>
      </c>
      <c r="F33" s="2" t="s">
        <v>6</v>
      </c>
      <c r="G33" s="4">
        <v>1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✅ Placar exato!</v>
      </c>
      <c r="J33" s="2">
        <f>IF(OR(E33="",G33="",'Fase de Grupos'!F33="",'Fase de Grupos'!H33=""),"",IF(AND(E33='Fase de Grupos'!F33,G33='Fase de Grupos'!H33),5,IF(SIGN(E33-G33)=SIGN('Fase de Grupos'!F33-'Fase de Grupos'!H33),3,0)))</f>
        <v>5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2</v>
      </c>
      <c r="F34" s="2" t="s">
        <v>6</v>
      </c>
      <c r="G34" s="4">
        <v>0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🟡 Acertou resultado</v>
      </c>
      <c r="J34" s="2">
        <f>IF(OR(E34="",G34="",'Fase de Grupos'!F34="",'Fase de Grupos'!H34=""),"",IF(AND(E34='Fase de Grupos'!F34,G34='Fase de Grupos'!H34),5,IF(SIGN(E34-G34)=SIGN('Fase de Grupos'!F34-'Fase de Grupos'!H34),3,0)))</f>
        <v>3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2</v>
      </c>
      <c r="F35" s="2" t="s">
        <v>6</v>
      </c>
      <c r="G35" s="4">
        <v>0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❌ Errou</v>
      </c>
      <c r="J35" s="2">
        <f>IF(OR(E35="",G35="",'Fase de Grupos'!F35="",'Fase de Grupos'!H35=""),"",IF(AND(E35='Fase de Grupos'!F35,G35='Fase de Grupos'!H35),5,IF(SIGN(E35-G35)=SIGN('Fase de Grupos'!F35-'Fase de Grupos'!H35),3,0)))</f>
        <v>0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2</v>
      </c>
      <c r="F36" s="2" t="s">
        <v>6</v>
      </c>
      <c r="G36" s="4">
        <v>2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❌ Errou</v>
      </c>
      <c r="J36" s="2">
        <f>IF(OR(E36="",G36="",'Fase de Grupos'!F36="",'Fase de Grupos'!H36=""),"",IF(AND(E36='Fase de Grupos'!F36,G36='Fase de Grupos'!H36),5,IF(SIGN(E36-G36)=SIGN('Fase de Grupos'!F36-'Fase de Grupos'!H36),3,0)))</f>
        <v>0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0</v>
      </c>
      <c r="F37" s="2" t="s">
        <v>6</v>
      </c>
      <c r="G37" s="4">
        <v>2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🟡 Acertou resultado</v>
      </c>
      <c r="J37" s="2">
        <f>IF(OR(E37="",G37="",'Fase de Grupos'!F37="",'Fase de Grupos'!H37=""),"",IF(AND(E37='Fase de Grupos'!F37,G37='Fase de Grupos'!H37),5,IF(SIGN(E37-G37)=SIGN('Fase de Grupos'!F37-'Fase de Grupos'!H37),3,0)))</f>
        <v>3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2</v>
      </c>
      <c r="F38" s="2" t="s">
        <v>6</v>
      </c>
      <c r="G38" s="4">
        <v>0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🟡 Acertou resultado</v>
      </c>
      <c r="J38" s="2">
        <f>IF(OR(E38="",G38="",'Fase de Grupos'!F38="",'Fase de Grupos'!H38=""),"",IF(AND(E38='Fase de Grupos'!F38,G38='Fase de Grupos'!H38),5,IF(SIGN(E38-G38)=SIGN('Fase de Grupos'!F38-'Fase de Grupos'!H38),3,0)))</f>
        <v>3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2</v>
      </c>
      <c r="F39" s="2" t="s">
        <v>6</v>
      </c>
      <c r="G39" s="4">
        <v>0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❌ Errou</v>
      </c>
      <c r="J39" s="2">
        <f>IF(OR(E39="",G39="",'Fase de Grupos'!F39="",'Fase de Grupos'!H39=""),"",IF(AND(E39='Fase de Grupos'!F39,G39='Fase de Grupos'!H39),5,IF(SIGN(E39-G39)=SIGN('Fase de Grupos'!F39-'Fase de Grupos'!H39),3,0)))</f>
        <v>0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2</v>
      </c>
      <c r="F40" s="2" t="s">
        <v>6</v>
      </c>
      <c r="G40" s="4">
        <v>1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0</v>
      </c>
      <c r="F41" s="2" t="s">
        <v>6</v>
      </c>
      <c r="G41" s="4">
        <v>1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🟡 Acertou resultado</v>
      </c>
      <c r="J41" s="2">
        <f>IF(OR(E41="",G41="",'Fase de Grupos'!F41="",'Fase de Grupos'!H41=""),"",IF(AND(E41='Fase de Grupos'!F41,G41='Fase de Grupos'!H41),5,IF(SIGN(E41-G41)=SIGN('Fase de Grupos'!F41-'Fase de Grupos'!H41),3,0)))</f>
        <v>3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2</v>
      </c>
      <c r="F42" s="2" t="s">
        <v>6</v>
      </c>
      <c r="G42" s="4">
        <v>0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🟡 Acertou resultado</v>
      </c>
      <c r="J42" s="2">
        <f>IF(OR(E42="",G42="",'Fase de Grupos'!F42="",'Fase de Grupos'!H42=""),"",IF(AND(E42='Fase de Grupos'!F42,G42='Fase de Grupos'!H42),5,IF(SIGN(E42-G42)=SIGN('Fase de Grupos'!F42-'Fase de Grupos'!H42),3,0)))</f>
        <v>3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3</v>
      </c>
      <c r="F43" s="2" t="s">
        <v>6</v>
      </c>
      <c r="G43" s="4">
        <v>1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🟡 Acertou resultado</v>
      </c>
      <c r="J43" s="2">
        <f>IF(OR(E43="",G43="",'Fase de Grupos'!F43="",'Fase de Grupos'!H43=""),"",IF(AND(E43='Fase de Grupos'!F43,G43='Fase de Grupos'!H43),5,IF(SIGN(E43-G43)=SIGN('Fase de Grupos'!F43-'Fase de Grupos'!H43),3,0)))</f>
        <v>3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2</v>
      </c>
      <c r="F44" s="2" t="s">
        <v>6</v>
      </c>
      <c r="G44" s="4">
        <v>1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🟡 Acertou resultado</v>
      </c>
      <c r="J44" s="2">
        <f>IF(OR(E44="",G44="",'Fase de Grupos'!F44="",'Fase de Grupos'!H44=""),"",IF(AND(E44='Fase de Grupos'!F44,G44='Fase de Grupos'!H44),5,IF(SIGN(E44-G44)=SIGN('Fase de Grupos'!F44-'Fase de Grupos'!H44),3,0)))</f>
        <v>3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1</v>
      </c>
      <c r="F45" s="2" t="s">
        <v>6</v>
      </c>
      <c r="G45" s="4">
        <v>0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❌ Errou</v>
      </c>
      <c r="J45" s="2">
        <f>IF(OR(E45="",G45="",'Fase de Grupos'!F45="",'Fase de Grupos'!H45=""),"",IF(AND(E45='Fase de Grupos'!F45,G45='Fase de Grupos'!H45),5,IF(SIGN(E45-G45)=SIGN('Fase de Grupos'!F45-'Fase de Grupos'!H45),3,0)))</f>
        <v>0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3</v>
      </c>
      <c r="F46" s="2" t="s">
        <v>6</v>
      </c>
      <c r="G46" s="4">
        <v>0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❌ Errou</v>
      </c>
      <c r="J46" s="2">
        <f>IF(OR(E46="",G46="",'Fase de Grupos'!F46="",'Fase de Grupos'!H46=""),"",IF(AND(E46='Fase de Grupos'!F46,G46='Fase de Grupos'!H46),5,IF(SIGN(E46-G46)=SIGN('Fase de Grupos'!F46-'Fase de Grupos'!H46),3,0)))</f>
        <v>0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0</v>
      </c>
      <c r="F47" s="2" t="s">
        <v>6</v>
      </c>
      <c r="G47" s="4">
        <v>2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🟡 Acertou resultado</v>
      </c>
      <c r="J47" s="2">
        <f>IF(OR(E47="",G47="",'Fase de Grupos'!F47="",'Fase de Grupos'!H47=""),"",IF(AND(E47='Fase de Grupos'!F47,G47='Fase de Grupos'!H47),5,IF(SIGN(E47-G47)=SIGN('Fase de Grupos'!F47-'Fase de Grupos'!H47),3,0)))</f>
        <v>3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2</v>
      </c>
      <c r="F48" s="2" t="s">
        <v>6</v>
      </c>
      <c r="G48" s="4">
        <v>0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2</v>
      </c>
      <c r="F49" s="2" t="s">
        <v>6</v>
      </c>
      <c r="G49" s="4">
        <v>0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🟡 Acertou resultado</v>
      </c>
      <c r="J49" s="2">
        <f>IF(OR(E49="",G49="",'Fase de Grupos'!F49="",'Fase de Grupos'!H49=""),"",IF(AND(E49='Fase de Grupos'!F49,G49='Fase de Grupos'!H49),5,IF(SIGN(E49-G49)=SIGN('Fase de Grupos'!F49-'Fase de Grupos'!H49),3,0)))</f>
        <v>3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0</v>
      </c>
      <c r="F50" s="2" t="s">
        <v>6</v>
      </c>
      <c r="G50" s="4">
        <v>2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🟡 Acertou resultado</v>
      </c>
      <c r="J50" s="2">
        <f>IF(OR(E50="",G50="",'Fase de Grupos'!F50="",'Fase de Grupos'!H50=""),"",IF(AND(E50='Fase de Grupos'!F50,G50='Fase de Grupos'!H50),5,IF(SIGN(E50-G50)=SIGN('Fase de Grupos'!F50-'Fase de Grupos'!H50),3,0)))</f>
        <v>3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2</v>
      </c>
      <c r="F51" s="2" t="s">
        <v>6</v>
      </c>
      <c r="G51" s="4">
        <v>1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🟡 Acertou resultado</v>
      </c>
      <c r="J51" s="2">
        <f>IF(OR(E51="",G51="",'Fase de Grupos'!F51="",'Fase de Grupos'!H51=""),"",IF(AND(E51='Fase de Grupos'!F51,G51='Fase de Grupos'!H51),5,IF(SIGN(E51-G51)=SIGN('Fase de Grupos'!F51-'Fase de Grupos'!H51),3,0)))</f>
        <v>3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1</v>
      </c>
      <c r="F52" s="2" t="s">
        <v>6</v>
      </c>
      <c r="G52" s="4">
        <v>2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❌ Errou</v>
      </c>
      <c r="J52" s="2">
        <f>IF(OR(E52="",G52="",'Fase de Grupos'!F52="",'Fase de Grupos'!H52=""),"",IF(AND(E52='Fase de Grupos'!F52,G52='Fase de Grupos'!H52),5,IF(SIGN(E52-G52)=SIGN('Fase de Grupos'!F52-'Fase de Grupos'!H52),3,0)))</f>
        <v>0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1</v>
      </c>
      <c r="F53" s="2" t="s">
        <v>6</v>
      </c>
      <c r="G53" s="4">
        <v>1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❌ Errou</v>
      </c>
      <c r="J53" s="2">
        <f>IF(OR(E53="",G53="",'Fase de Grupos'!F53="",'Fase de Grupos'!H53=""),"",IF(AND(E53='Fase de Grupos'!F53,G53='Fase de Grupos'!H53),5,IF(SIGN(E53-G53)=SIGN('Fase de Grupos'!F53-'Fase de Grupos'!H53),3,0)))</f>
        <v>0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1</v>
      </c>
      <c r="F54" s="2" t="s">
        <v>6</v>
      </c>
      <c r="G54" s="4">
        <v>0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❌ Errou</v>
      </c>
      <c r="J54" s="2">
        <f>IF(OR(E54="",G54="",'Fase de Grupos'!F54="",'Fase de Grupos'!H54=""),"",IF(AND(E54='Fase de Grupos'!F54,G54='Fase de Grupos'!H54),5,IF(SIGN(E54-G54)=SIGN('Fase de Grupos'!F54-'Fase de Grupos'!H54),3,0)))</f>
        <v>0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1</v>
      </c>
      <c r="F55" s="2" t="s">
        <v>6</v>
      </c>
      <c r="G55" s="4">
        <v>1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❌ Errou</v>
      </c>
      <c r="J55" s="2">
        <f>IF(OR(E55="",G55="",'Fase de Grupos'!F55="",'Fase de Grupos'!H55=""),"",IF(AND(E55='Fase de Grupos'!F55,G55='Fase de Grupos'!H55),5,IF(SIGN(E55-G55)=SIGN('Fase de Grupos'!F55-'Fase de Grupos'!H55),3,0)))</f>
        <v>0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1</v>
      </c>
      <c r="F56" s="2" t="s">
        <v>6</v>
      </c>
      <c r="G56" s="4">
        <v>2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🟡 Acertou resultado</v>
      </c>
      <c r="J56" s="2">
        <f>IF(OR(E56="",G56="",'Fase de Grupos'!F56="",'Fase de Grupos'!H56=""),"",IF(AND(E56='Fase de Grupos'!F56,G56='Fase de Grupos'!H56),5,IF(SIGN(E56-G56)=SIGN('Fase de Grupos'!F56-'Fase de Grupos'!H56),3,0)))</f>
        <v>3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0</v>
      </c>
      <c r="F57" s="2" t="s">
        <v>6</v>
      </c>
      <c r="G57" s="4">
        <v>3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2</v>
      </c>
      <c r="F58" s="2" t="s">
        <v>6</v>
      </c>
      <c r="G58" s="4">
        <v>2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🟡 Acertou resultado</v>
      </c>
      <c r="J58" s="2">
        <f>IF(OR(E58="",G58="",'Fase de Grupos'!F58="",'Fase de Grupos'!H58=""),"",IF(AND(E58='Fase de Grupos'!F58,G58='Fase de Grupos'!H58),5,IF(SIGN(E58-G58)=SIGN('Fase de Grupos'!F58-'Fase de Grupos'!H58),3,0)))</f>
        <v>3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0</v>
      </c>
      <c r="F59" s="2" t="s">
        <v>6</v>
      </c>
      <c r="G59" s="4">
        <v>2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🟡 Acertou resultado</v>
      </c>
      <c r="J59" s="2">
        <f>IF(OR(E59="",G59="",'Fase de Grupos'!F59="",'Fase de Grupos'!H59=""),"",IF(AND(E59='Fase de Grupos'!F59,G59='Fase de Grupos'!H59),5,IF(SIGN(E59-G59)=SIGN('Fase de Grupos'!F59-'Fase de Grupos'!H59),3,0)))</f>
        <v>3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0</v>
      </c>
      <c r="F60" s="2" t="s">
        <v>6</v>
      </c>
      <c r="G60" s="4">
        <v>2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❌ Errou</v>
      </c>
      <c r="J60" s="2">
        <f>IF(OR(E60="",G60="",'Fase de Grupos'!F60="",'Fase de Grupos'!H60=""),"",IF(AND(E60='Fase de Grupos'!F60,G60='Fase de Grupos'!H60),5,IF(SIGN(E60-G60)=SIGN('Fase de Grupos'!F60-'Fase de Grupos'!H60),3,0)))</f>
        <v>0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1</v>
      </c>
      <c r="F61" s="2" t="s">
        <v>6</v>
      </c>
      <c r="G61" s="4">
        <v>0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❌ Errou</v>
      </c>
      <c r="J61" s="2">
        <f>IF(OR(E61="",G61="",'Fase de Grupos'!F61="",'Fase de Grupos'!H61=""),"",IF(AND(E61='Fase de Grupos'!F61,G61='Fase de Grupos'!H61),5,IF(SIGN(E61-G61)=SIGN('Fase de Grupos'!F61-'Fase de Grupos'!H61),3,0)))</f>
        <v>0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1</v>
      </c>
      <c r="F62" s="2" t="s">
        <v>6</v>
      </c>
      <c r="G62" s="4">
        <v>3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🟡 Acertou resultado</v>
      </c>
      <c r="J62" s="2">
        <f>IF(OR(E62="",G62="",'Fase de Grupos'!F62="",'Fase de Grupos'!H62=""),"",IF(AND(E62='Fase de Grupos'!F62,G62='Fase de Grupos'!H62),5,IF(SIGN(E62-G62)=SIGN('Fase de Grupos'!F62-'Fase de Grupos'!H62),3,0)))</f>
        <v>3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1</v>
      </c>
      <c r="F63" s="2" t="s">
        <v>6</v>
      </c>
      <c r="G63" s="4">
        <v>1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❌ Errou</v>
      </c>
      <c r="J63" s="2">
        <f>IF(OR(E63="",G63="",'Fase de Grupos'!F63="",'Fase de Grupos'!H63=""),"",IF(AND(E63='Fase de Grupos'!F63,G63='Fase de Grupos'!H63),5,IF(SIGN(E63-G63)=SIGN('Fase de Grupos'!F63-'Fase de Grupos'!H63),3,0)))</f>
        <v>0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2</v>
      </c>
      <c r="F64" s="2" t="s">
        <v>6</v>
      </c>
      <c r="G64" s="4">
        <v>0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❌ Errou</v>
      </c>
      <c r="J64" s="2">
        <f>IF(OR(E64="",G64="",'Fase de Grupos'!F64="",'Fase de Grupos'!H64=""),"",IF(AND(E64='Fase de Grupos'!F64,G64='Fase de Grupos'!H64),5,IF(SIGN(E64-G64)=SIGN('Fase de Grupos'!F64-'Fase de Grupos'!H64),3,0)))</f>
        <v>0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0</v>
      </c>
      <c r="F65" s="2" t="s">
        <v>6</v>
      </c>
      <c r="G65" s="4">
        <v>2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🟡 Acertou resultado</v>
      </c>
      <c r="J65" s="2">
        <f>IF(OR(E65="",G65="",'Fase de Grupos'!F65="",'Fase de Grupos'!H65=""),"",IF(AND(E65='Fase de Grupos'!F65,G65='Fase de Grupos'!H65),5,IF(SIGN(E65-G65)=SIGN('Fase de Grupos'!F65-'Fase de Grupos'!H65),3,0)))</f>
        <v>3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2</v>
      </c>
      <c r="F66" s="2" t="s">
        <v>6</v>
      </c>
      <c r="G66" s="4">
        <v>1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❌ Errou</v>
      </c>
      <c r="J66" s="2">
        <f>IF(OR(E66="",G66="",'Fase de Grupos'!F66="",'Fase de Grupos'!H66=""),"",IF(AND(E66='Fase de Grupos'!F66,G66='Fase de Grupos'!H66),5,IF(SIGN(E66-G66)=SIGN('Fase de Grupos'!F66-'Fase de Grupos'!H66),3,0)))</f>
        <v>0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1</v>
      </c>
      <c r="F67" s="2" t="s">
        <v>6</v>
      </c>
      <c r="G67" s="4">
        <v>2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🟡 Acertou resultado</v>
      </c>
      <c r="J67" s="2">
        <f>IF(OR(E67="",G67="",'Fase de Grupos'!F67="",'Fase de Grupos'!H67=""),"",IF(AND(E67='Fase de Grupos'!F67,G67='Fase de Grupos'!H67),5,IF(SIGN(E67-G67)=SIGN('Fase de Grupos'!F67-'Fase de Grupos'!H67),3,0)))</f>
        <v>3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1</v>
      </c>
      <c r="F68" s="2" t="s">
        <v>6</v>
      </c>
      <c r="G68" s="4">
        <v>3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3</v>
      </c>
      <c r="F69" s="2" t="s">
        <v>6</v>
      </c>
      <c r="G69" s="4">
        <v>0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🟡 Acertou resultado</v>
      </c>
      <c r="J69" s="2">
        <f>IF(OR(E69="",G69="",'Fase de Grupos'!F69="",'Fase de Grupos'!H69=""),"",IF(AND(E69='Fase de Grupos'!F69,G69='Fase de Grupos'!H69),5,IF(SIGN(E69-G69)=SIGN('Fase de Grupos'!F69-'Fase de Grupos'!H69),3,0)))</f>
        <v>3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0</v>
      </c>
      <c r="F70" s="2" t="s">
        <v>6</v>
      </c>
      <c r="G70" s="4">
        <v>1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❌ Errou</v>
      </c>
      <c r="J70" s="2">
        <f>IF(OR(E70="",G70="",'Fase de Grupos'!F70="",'Fase de Grupos'!H70=""),"",IF(AND(E70='Fase de Grupos'!F70,G70='Fase de Grupos'!H70),5,IF(SIGN(E70-G70)=SIGN('Fase de Grupos'!F70-'Fase de Grupos'!H70),3,0)))</f>
        <v>0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1</v>
      </c>
      <c r="F71" s="2" t="s">
        <v>6</v>
      </c>
      <c r="G71" s="4">
        <v>2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🟡 Acertou resultado</v>
      </c>
      <c r="J71" s="2">
        <f>IF(OR(E71="",G71="",'Fase de Grupos'!F71="",'Fase de Grupos'!H71=""),"",IF(AND(E71='Fase de Grupos'!F71,G71='Fase de Grupos'!H71),5,IF(SIGN(E71-G71)=SIGN('Fase de Grupos'!F71-'Fase de Grupos'!H71),3,0)))</f>
        <v>3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0</v>
      </c>
      <c r="F72" s="2" t="s">
        <v>6</v>
      </c>
      <c r="G72" s="4">
        <v>3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❌ Errou</v>
      </c>
      <c r="J72" s="2">
        <f>IF(OR(E72="",G72="",'Fase de Grupos'!F72="",'Fase de Grupos'!H72=""),"",IF(AND(E72='Fase de Grupos'!F72,G72='Fase de Grupos'!H72),5,IF(SIGN(E72-G72)=SIGN('Fase de Grupos'!F72-'Fase de Grupos'!H72),3,0)))</f>
        <v>0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1</v>
      </c>
      <c r="F73" s="2" t="s">
        <v>6</v>
      </c>
      <c r="G73" s="4">
        <v>1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❌ Errou</v>
      </c>
      <c r="J73" s="2">
        <f>IF(OR(E73="",G73="",'Fase de Grupos'!F73="",'Fase de Grupos'!H73=""),"",IF(AND(E73='Fase de Grupos'!F73,G73='Fase de Grupos'!H73),5,IF(SIGN(E73-G73)=SIGN('Fase de Grupos'!F73-'Fase de Grupos'!H73),3,0)))</f>
        <v>0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102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</sheetPr>
  <dimension ref="A1:J83"/>
  <sheetViews>
    <sheetView workbookViewId="0">
      <pane ySplit="1" topLeftCell="A2" activePane="bottomLeft" state="frozen"/>
      <selection activeCell="E2" sqref="E2:G13"/>
      <selection pane="bottomLeft" activeCell="E2" sqref="E2:G1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s="23" customFormat="1" x14ac:dyDescent="0.35">
      <c r="A14" s="20">
        <v>13</v>
      </c>
      <c r="B14" s="20" t="s">
        <v>64</v>
      </c>
      <c r="C14" s="20" t="s">
        <v>130</v>
      </c>
      <c r="D14" s="21" t="s">
        <v>67</v>
      </c>
      <c r="E14" s="22">
        <v>3</v>
      </c>
      <c r="F14" s="20" t="s">
        <v>6</v>
      </c>
      <c r="G14" s="22">
        <v>1</v>
      </c>
      <c r="H14" s="21" t="s">
        <v>68</v>
      </c>
      <c r="I14" s="20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❌ Errou</v>
      </c>
      <c r="J14" s="20">
        <f>IF(OR(E14="",G14="",'Fase de Grupos'!F14="",'Fase de Grupos'!H14=""),"",IF(AND(E14='Fase de Grupos'!F14,G14='Fase de Grupos'!H14),5,IF(SIGN(E14-G14)=SIGN('Fase de Grupos'!F14-'Fase de Grupos'!H14),3,0)))</f>
        <v>0</v>
      </c>
    </row>
    <row r="15" spans="1:10" s="23" customFormat="1" x14ac:dyDescent="0.35">
      <c r="A15" s="20">
        <v>14</v>
      </c>
      <c r="B15" s="20" t="s">
        <v>64</v>
      </c>
      <c r="C15" s="20" t="s">
        <v>129</v>
      </c>
      <c r="D15" s="21" t="s">
        <v>71</v>
      </c>
      <c r="E15" s="22">
        <v>2</v>
      </c>
      <c r="F15" s="20" t="s">
        <v>6</v>
      </c>
      <c r="G15" s="22">
        <v>0</v>
      </c>
      <c r="H15" s="21" t="s">
        <v>72</v>
      </c>
      <c r="I15" s="20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❌ Errou</v>
      </c>
      <c r="J15" s="20">
        <f>IF(OR(E15="",G15="",'Fase de Grupos'!F15="",'Fase de Grupos'!H15=""),"",IF(AND(E15='Fase de Grupos'!F15,G15='Fase de Grupos'!H15),5,IF(SIGN(E15-G15)=SIGN('Fase de Grupos'!F15-'Fase de Grupos'!H15),3,0)))</f>
        <v>0</v>
      </c>
    </row>
    <row r="16" spans="1:10" s="23" customFormat="1" x14ac:dyDescent="0.35">
      <c r="A16" s="20">
        <v>15</v>
      </c>
      <c r="B16" s="20" t="s">
        <v>64</v>
      </c>
      <c r="C16" s="20" t="s">
        <v>130</v>
      </c>
      <c r="D16" s="21" t="s">
        <v>74</v>
      </c>
      <c r="E16" s="22">
        <v>2</v>
      </c>
      <c r="F16" s="20" t="s">
        <v>6</v>
      </c>
      <c r="G16" s="22">
        <v>1</v>
      </c>
      <c r="H16" s="21" t="s">
        <v>75</v>
      </c>
      <c r="I16" s="20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❌ Errou</v>
      </c>
      <c r="J16" s="20">
        <f>IF(OR(E16="",G16="",'Fase de Grupos'!F16="",'Fase de Grupos'!H16=""),"",IF(AND(E16='Fase de Grupos'!F16,G16='Fase de Grupos'!H16),5,IF(SIGN(E16-G16)=SIGN('Fase de Grupos'!F16-'Fase de Grupos'!H16),3,0)))</f>
        <v>0</v>
      </c>
    </row>
    <row r="17" spans="1:10" s="23" customFormat="1" x14ac:dyDescent="0.35">
      <c r="A17" s="20">
        <v>16</v>
      </c>
      <c r="B17" s="20" t="s">
        <v>64</v>
      </c>
      <c r="C17" s="20" t="s">
        <v>129</v>
      </c>
      <c r="D17" s="21" t="s">
        <v>77</v>
      </c>
      <c r="E17" s="22">
        <v>1</v>
      </c>
      <c r="F17" s="20" t="s">
        <v>6</v>
      </c>
      <c r="G17" s="22">
        <v>1</v>
      </c>
      <c r="H17" s="21" t="s">
        <v>78</v>
      </c>
      <c r="I17" s="20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🟡 Acertou resultado</v>
      </c>
      <c r="J17" s="20">
        <f>IF(OR(E17="",G17="",'Fase de Grupos'!F17="",'Fase de Grupos'!H17=""),"",IF(AND(E17='Fase de Grupos'!F17,G17='Fase de Grupos'!H17),5,IF(SIGN(E17-G17)=SIGN('Fase de Grupos'!F17-'Fase de Grupos'!H17),3,0)))</f>
        <v>3</v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2</v>
      </c>
      <c r="F18" s="2" t="s">
        <v>6</v>
      </c>
      <c r="G18" s="4">
        <v>0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🟡 Acertou resultado</v>
      </c>
      <c r="J18" s="2">
        <f>IF(OR(E18="",G18="",'Fase de Grupos'!F18="",'Fase de Grupos'!H18=""),"",IF(AND(E18='Fase de Grupos'!F18,G18='Fase de Grupos'!H18),5,IF(SIGN(E18-G18)=SIGN('Fase de Grupos'!F18-'Fase de Grupos'!H18),3,0)))</f>
        <v>3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0</v>
      </c>
      <c r="F19" s="2" t="s">
        <v>6</v>
      </c>
      <c r="G19" s="4">
        <v>2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🟡 Acertou resultado</v>
      </c>
      <c r="J19" s="2">
        <f>IF(OR(E19="",G19="",'Fase de Grupos'!F19="",'Fase de Grupos'!H19=""),"",IF(AND(E19='Fase de Grupos'!F19,G19='Fase de Grupos'!H19),5,IF(SIGN(E19-G19)=SIGN('Fase de Grupos'!F19-'Fase de Grupos'!H19),3,0)))</f>
        <v>3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2</v>
      </c>
      <c r="F20" s="2" t="s">
        <v>6</v>
      </c>
      <c r="G20" s="4">
        <v>0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🟡 Acertou resultado</v>
      </c>
      <c r="J20" s="2">
        <f>IF(OR(E20="",G20="",'Fase de Grupos'!F20="",'Fase de Grupos'!H20=""),"",IF(AND(E20='Fase de Grupos'!F20,G20='Fase de Grupos'!H20),5,IF(SIGN(E20-G20)=SIGN('Fase de Grupos'!F20-'Fase de Grupos'!H20),3,0)))</f>
        <v>3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3</v>
      </c>
      <c r="F21" s="2" t="s">
        <v>6</v>
      </c>
      <c r="G21" s="4">
        <v>0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🟡 Acertou resultado</v>
      </c>
      <c r="J21" s="2">
        <f>IF(OR(E21="",G21="",'Fase de Grupos'!F21="",'Fase de Grupos'!H21=""),"",IF(AND(E21='Fase de Grupos'!F21,G21='Fase de Grupos'!H21),5,IF(SIGN(E21-G21)=SIGN('Fase de Grupos'!F21-'Fase de Grupos'!H21),3,0)))</f>
        <v>3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3</v>
      </c>
      <c r="F22" s="2" t="s">
        <v>6</v>
      </c>
      <c r="G22" s="4">
        <v>0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2</v>
      </c>
      <c r="F23" s="2" t="s">
        <v>6</v>
      </c>
      <c r="G23" s="4">
        <v>1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🟡 Acertou resultado</v>
      </c>
      <c r="J23" s="2">
        <f>IF(OR(E23="",G23="",'Fase de Grupos'!F23="",'Fase de Grupos'!H23=""),"",IF(AND(E23='Fase de Grupos'!F23,G23='Fase de Grupos'!H23),5,IF(SIGN(E23-G23)=SIGN('Fase de Grupos'!F23-'Fase de Grupos'!H23),3,0)))</f>
        <v>3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2</v>
      </c>
      <c r="F24" s="2" t="s">
        <v>6</v>
      </c>
      <c r="G24" s="4">
        <v>0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🟡 Acertou resultado</v>
      </c>
      <c r="J24" s="2">
        <f>IF(OR(E24="",G24="",'Fase de Grupos'!F24="",'Fase de Grupos'!H24=""),"",IF(AND(E24='Fase de Grupos'!F24,G24='Fase de Grupos'!H24),5,IF(SIGN(E24-G24)=SIGN('Fase de Grupos'!F24-'Fase de Grupos'!H24),3,0)))</f>
        <v>3</v>
      </c>
    </row>
    <row r="25" spans="1:10" x14ac:dyDescent="0.35">
      <c r="A25" s="2">
        <v>24</v>
      </c>
      <c r="B25" s="2" t="s">
        <v>89</v>
      </c>
      <c r="C25" s="2" t="s">
        <v>133</v>
      </c>
      <c r="D25" s="3" t="s">
        <v>100</v>
      </c>
      <c r="E25" s="4">
        <v>1</v>
      </c>
      <c r="F25" s="2" t="s">
        <v>6</v>
      </c>
      <c r="G25" s="4">
        <v>1</v>
      </c>
      <c r="H25" s="3" t="s">
        <v>101</v>
      </c>
      <c r="I25" s="2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❌ Errou</v>
      </c>
      <c r="J25" s="2">
        <f>IF(OR(E25="",G25="",'Fase de Grupos'!F25="",'Fase de Grupos'!H25=""),"",IF(AND(E25='Fase de Grupos'!F25,G25='Fase de Grupos'!H25),5,IF(SIGN(E25-G25)=SIGN('Fase de Grupos'!F25-'Fase de Grupos'!H25),3,0)))</f>
        <v>0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1</v>
      </c>
      <c r="F26" s="2" t="s">
        <v>6</v>
      </c>
      <c r="G26" s="4">
        <v>0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❌ Errou</v>
      </c>
      <c r="J26" s="2">
        <f>IF(OR(E26="",G26="",'Fase de Grupos'!F26="",'Fase de Grupos'!H26=""),"",IF(AND(E26='Fase de Grupos'!F26,G26='Fase de Grupos'!H26),5,IF(SIGN(E26-G26)=SIGN('Fase de Grupos'!F26-'Fase de Grupos'!H26),3,0)))</f>
        <v>0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1</v>
      </c>
      <c r="F27" s="2" t="s">
        <v>6</v>
      </c>
      <c r="G27" s="4">
        <v>0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🟡 Acertou resultado</v>
      </c>
      <c r="J27" s="2">
        <f>IF(OR(E27="",G27="",'Fase de Grupos'!F27="",'Fase de Grupos'!H27=""),"",IF(AND(E27='Fase de Grupos'!F27,G27='Fase de Grupos'!H27),5,IF(SIGN(E27-G27)=SIGN('Fase de Grupos'!F27-'Fase de Grupos'!H27),3,0)))</f>
        <v>3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1</v>
      </c>
      <c r="F28" s="2" t="s">
        <v>6</v>
      </c>
      <c r="G28" s="4">
        <v>0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🟡 Acertou resultado</v>
      </c>
      <c r="J28" s="2">
        <f>IF(OR(E28="",G28="",'Fase de Grupos'!F28="",'Fase de Grupos'!H28=""),"",IF(AND(E28='Fase de Grupos'!F28,G28='Fase de Grupos'!H28),5,IF(SIGN(E28-G28)=SIGN('Fase de Grupos'!F28-'Fase de Grupos'!H28),3,0)))</f>
        <v>3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1</v>
      </c>
      <c r="F29" s="2" t="s">
        <v>6</v>
      </c>
      <c r="G29" s="4">
        <v>2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❌ Errou</v>
      </c>
      <c r="J29" s="2">
        <f>IF(OR(E29="",G29="",'Fase de Grupos'!F29="",'Fase de Grupos'!H29=""),"",IF(AND(E29='Fase de Grupos'!F29,G29='Fase de Grupos'!H29),5,IF(SIGN(E29-G29)=SIGN('Fase de Grupos'!F29-'Fase de Grupos'!H29),3,0)))</f>
        <v>0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2</v>
      </c>
      <c r="F30" s="2" t="s">
        <v>6</v>
      </c>
      <c r="G30" s="4">
        <v>1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🟡 Acertou resultado</v>
      </c>
      <c r="J30" s="2">
        <f>IF(OR(E30="",G30="",'Fase de Grupos'!F30="",'Fase de Grupos'!H30=""),"",IF(AND(E30='Fase de Grupos'!F30,G30='Fase de Grupos'!H30),5,IF(SIGN(E30-G30)=SIGN('Fase de Grupos'!F30-'Fase de Grupos'!H30),3,0)))</f>
        <v>3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0</v>
      </c>
      <c r="F31" s="2" t="s">
        <v>6</v>
      </c>
      <c r="G31" s="4">
        <v>2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🟡 Acertou resultado</v>
      </c>
      <c r="J31" s="2">
        <f>IF(OR(E31="",G31="",'Fase de Grupos'!F31="",'Fase de Grupos'!H31=""),"",IF(AND(E31='Fase de Grupos'!F31,G31='Fase de Grupos'!H31),5,IF(SIGN(E31-G31)=SIGN('Fase de Grupos'!F31-'Fase de Grupos'!H31),3,0)))</f>
        <v>3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4</v>
      </c>
      <c r="F32" s="2" t="s">
        <v>6</v>
      </c>
      <c r="G32" s="4">
        <v>0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🟡 Acertou resultado</v>
      </c>
      <c r="J32" s="2">
        <f>IF(OR(E32="",G32="",'Fase de Grupos'!F32="",'Fase de Grupos'!H32=""),"",IF(AND(E32='Fase de Grupos'!F32,G32='Fase de Grupos'!H32),5,IF(SIGN(E32-G32)=SIGN('Fase de Grupos'!F32-'Fase de Grupos'!H32),3,0)))</f>
        <v>3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2</v>
      </c>
      <c r="F33" s="2" t="s">
        <v>6</v>
      </c>
      <c r="G33" s="4">
        <v>0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❌ Errou</v>
      </c>
      <c r="J33" s="2">
        <f>IF(OR(E33="",G33="",'Fase de Grupos'!F33="",'Fase de Grupos'!H33=""),"",IF(AND(E33='Fase de Grupos'!F33,G33='Fase de Grupos'!H33),5,IF(SIGN(E33-G33)=SIGN('Fase de Grupos'!F33-'Fase de Grupos'!H33),3,0)))</f>
        <v>0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2</v>
      </c>
      <c r="F34" s="2" t="s">
        <v>6</v>
      </c>
      <c r="G34" s="4">
        <v>2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❌ Errou</v>
      </c>
      <c r="J34" s="2">
        <f>IF(OR(E34="",G34="",'Fase de Grupos'!F34="",'Fase de Grupos'!H34=""),"",IF(AND(E34='Fase de Grupos'!F34,G34='Fase de Grupos'!H34),5,IF(SIGN(E34-G34)=SIGN('Fase de Grupos'!F34-'Fase de Grupos'!H34),3,0)))</f>
        <v>0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5</v>
      </c>
      <c r="F35" s="2" t="s">
        <v>6</v>
      </c>
      <c r="G35" s="4">
        <v>0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❌ Errou</v>
      </c>
      <c r="J35" s="2">
        <f>IF(OR(E35="",G35="",'Fase de Grupos'!F35="",'Fase de Grupos'!H35=""),"",IF(AND(E35='Fase de Grupos'!F35,G35='Fase de Grupos'!H35),5,IF(SIGN(E35-G35)=SIGN('Fase de Grupos'!F35-'Fase de Grupos'!H35),3,0)))</f>
        <v>0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2</v>
      </c>
      <c r="F36" s="2" t="s">
        <v>6</v>
      </c>
      <c r="G36" s="4">
        <v>2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❌ Errou</v>
      </c>
      <c r="J36" s="2">
        <f>IF(OR(E36="",G36="",'Fase de Grupos'!F36="",'Fase de Grupos'!H36=""),"",IF(AND(E36='Fase de Grupos'!F36,G36='Fase de Grupos'!H36),5,IF(SIGN(E36-G36)=SIGN('Fase de Grupos'!F36-'Fase de Grupos'!H36),3,0)))</f>
        <v>0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0</v>
      </c>
      <c r="F37" s="2" t="s">
        <v>6</v>
      </c>
      <c r="G37" s="4">
        <v>5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🟡 Acertou resultado</v>
      </c>
      <c r="J37" s="2">
        <f>IF(OR(E37="",G37="",'Fase de Grupos'!F37="",'Fase de Grupos'!H37=""),"",IF(AND(E37='Fase de Grupos'!F37,G37='Fase de Grupos'!H37),5,IF(SIGN(E37-G37)=SIGN('Fase de Grupos'!F37-'Fase de Grupos'!H37),3,0)))</f>
        <v>3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2</v>
      </c>
      <c r="F38" s="2" t="s">
        <v>6</v>
      </c>
      <c r="G38" s="4">
        <v>0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🟡 Acertou resultado</v>
      </c>
      <c r="J38" s="2">
        <f>IF(OR(E38="",G38="",'Fase de Grupos'!F38="",'Fase de Grupos'!H38=""),"",IF(AND(E38='Fase de Grupos'!F38,G38='Fase de Grupos'!H38),5,IF(SIGN(E38-G38)=SIGN('Fase de Grupos'!F38-'Fase de Grupos'!H38),3,0)))</f>
        <v>3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2</v>
      </c>
      <c r="F39" s="2" t="s">
        <v>6</v>
      </c>
      <c r="G39" s="4">
        <v>0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❌ Errou</v>
      </c>
      <c r="J39" s="2">
        <f>IF(OR(E39="",G39="",'Fase de Grupos'!F39="",'Fase de Grupos'!H39=""),"",IF(AND(E39='Fase de Grupos'!F39,G39='Fase de Grupos'!H39),5,IF(SIGN(E39-G39)=SIGN('Fase de Grupos'!F39-'Fase de Grupos'!H39),3,0)))</f>
        <v>0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0</v>
      </c>
      <c r="F40" s="2" t="s">
        <v>6</v>
      </c>
      <c r="G40" s="4">
        <v>1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2</v>
      </c>
      <c r="F41" s="2" t="s">
        <v>6</v>
      </c>
      <c r="G41" s="4">
        <v>1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❌ Errou</v>
      </c>
      <c r="J41" s="2">
        <f>IF(OR(E41="",G41="",'Fase de Grupos'!F41="",'Fase de Grupos'!H41=""),"",IF(AND(E41='Fase de Grupos'!F41,G41='Fase de Grupos'!H41),5,IF(SIGN(E41-G41)=SIGN('Fase de Grupos'!F41-'Fase de Grupos'!H41),3,0)))</f>
        <v>0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3</v>
      </c>
      <c r="F42" s="2" t="s">
        <v>6</v>
      </c>
      <c r="G42" s="4">
        <v>0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✅ Placar exato!</v>
      </c>
      <c r="J42" s="2">
        <f>IF(OR(E42="",G42="",'Fase de Grupos'!F42="",'Fase de Grupos'!H42=""),"",IF(AND(E42='Fase de Grupos'!F42,G42='Fase de Grupos'!H42),5,IF(SIGN(E42-G42)=SIGN('Fase de Grupos'!F42-'Fase de Grupos'!H42),3,0)))</f>
        <v>5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2</v>
      </c>
      <c r="F43" s="2" t="s">
        <v>6</v>
      </c>
      <c r="G43" s="4">
        <v>2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❌ Errou</v>
      </c>
      <c r="J43" s="2">
        <f>IF(OR(E43="",G43="",'Fase de Grupos'!F43="",'Fase de Grupos'!H43=""),"",IF(AND(E43='Fase de Grupos'!F43,G43='Fase de Grupos'!H43),5,IF(SIGN(E43-G43)=SIGN('Fase de Grupos'!F43-'Fase de Grupos'!H43),3,0)))</f>
        <v>0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2</v>
      </c>
      <c r="F44" s="2" t="s">
        <v>6</v>
      </c>
      <c r="G44" s="4">
        <v>0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✅ Placar exato!</v>
      </c>
      <c r="J44" s="2">
        <f>IF(OR(E44="",G44="",'Fase de Grupos'!F44="",'Fase de Grupos'!H44=""),"",IF(AND(E44='Fase de Grupos'!F44,G44='Fase de Grupos'!H44),5,IF(SIGN(E44-G44)=SIGN('Fase de Grupos'!F44-'Fase de Grupos'!H44),3,0)))</f>
        <v>5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0</v>
      </c>
      <c r="F45" s="2" t="s">
        <v>6</v>
      </c>
      <c r="G45" s="4">
        <v>2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🟡 Acertou resultado</v>
      </c>
      <c r="J45" s="2">
        <f>IF(OR(E45="",G45="",'Fase de Grupos'!F45="",'Fase de Grupos'!H45=""),"",IF(AND(E45='Fase de Grupos'!F45,G45='Fase de Grupos'!H45),5,IF(SIGN(E45-G45)=SIGN('Fase de Grupos'!F45-'Fase de Grupos'!H45),3,0)))</f>
        <v>3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3</v>
      </c>
      <c r="F46" s="2" t="s">
        <v>6</v>
      </c>
      <c r="G46" s="4">
        <v>1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❌ Errou</v>
      </c>
      <c r="J46" s="2">
        <f>IF(OR(E46="",G46="",'Fase de Grupos'!F46="",'Fase de Grupos'!H46=""),"",IF(AND(E46='Fase de Grupos'!F46,G46='Fase de Grupos'!H46),5,IF(SIGN(E46-G46)=SIGN('Fase de Grupos'!F46-'Fase de Grupos'!H46),3,0)))</f>
        <v>0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0</v>
      </c>
      <c r="F47" s="2" t="s">
        <v>6</v>
      </c>
      <c r="G47" s="4">
        <v>2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🟡 Acertou resultado</v>
      </c>
      <c r="J47" s="2">
        <f>IF(OR(E47="",G47="",'Fase de Grupos'!F47="",'Fase de Grupos'!H47=""),"",IF(AND(E47='Fase de Grupos'!F47,G47='Fase de Grupos'!H47),5,IF(SIGN(E47-G47)=SIGN('Fase de Grupos'!F47-'Fase de Grupos'!H47),3,0)))</f>
        <v>3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2</v>
      </c>
      <c r="F48" s="2" t="s">
        <v>6</v>
      </c>
      <c r="G48" s="4">
        <v>1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2</v>
      </c>
      <c r="F49" s="2" t="s">
        <v>6</v>
      </c>
      <c r="G49" s="4">
        <v>0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🟡 Acertou resultado</v>
      </c>
      <c r="J49" s="2">
        <f>IF(OR(E49="",G49="",'Fase de Grupos'!F49="",'Fase de Grupos'!H49=""),"",IF(AND(E49='Fase de Grupos'!F49,G49='Fase de Grupos'!H49),5,IF(SIGN(E49-G49)=SIGN('Fase de Grupos'!F49-'Fase de Grupos'!H49),3,0)))</f>
        <v>3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0</v>
      </c>
      <c r="F50" s="2" t="s">
        <v>6</v>
      </c>
      <c r="G50" s="4">
        <v>2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🟡 Acertou resultado</v>
      </c>
      <c r="J50" s="2">
        <f>IF(OR(E50="",G50="",'Fase de Grupos'!F50="",'Fase de Grupos'!H50=""),"",IF(AND(E50='Fase de Grupos'!F50,G50='Fase de Grupos'!H50),5,IF(SIGN(E50-G50)=SIGN('Fase de Grupos'!F50-'Fase de Grupos'!H50),3,0)))</f>
        <v>3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5</v>
      </c>
      <c r="F51" s="2" t="s">
        <v>6</v>
      </c>
      <c r="G51" s="4">
        <v>0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🟡 Acertou resultado</v>
      </c>
      <c r="J51" s="2">
        <f>IF(OR(E51="",G51="",'Fase de Grupos'!F51="",'Fase de Grupos'!H51=""),"",IF(AND(E51='Fase de Grupos'!F51,G51='Fase de Grupos'!H51),5,IF(SIGN(E51-G51)=SIGN('Fase de Grupos'!F51-'Fase de Grupos'!H51),3,0)))</f>
        <v>3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2</v>
      </c>
      <c r="F52" s="2" t="s">
        <v>6</v>
      </c>
      <c r="G52" s="4">
        <v>0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🟡 Acertou resultado</v>
      </c>
      <c r="J52" s="2">
        <f>IF(OR(E52="",G52="",'Fase de Grupos'!F52="",'Fase de Grupos'!H52=""),"",IF(AND(E52='Fase de Grupos'!F52,G52='Fase de Grupos'!H52),5,IF(SIGN(E52-G52)=SIGN('Fase de Grupos'!F52-'Fase de Grupos'!H52),3,0)))</f>
        <v>3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1</v>
      </c>
      <c r="F53" s="2" t="s">
        <v>6</v>
      </c>
      <c r="G53" s="4">
        <v>1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❌ Errou</v>
      </c>
      <c r="J53" s="2">
        <f>IF(OR(E53="",G53="",'Fase de Grupos'!F53="",'Fase de Grupos'!H53=""),"",IF(AND(E53='Fase de Grupos'!F53,G53='Fase de Grupos'!H53),5,IF(SIGN(E53-G53)=SIGN('Fase de Grupos'!F53-'Fase de Grupos'!H53),3,0)))</f>
        <v>0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0</v>
      </c>
      <c r="F54" s="2" t="s">
        <v>6</v>
      </c>
      <c r="G54" s="4">
        <v>1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🟡 Acertou resultado</v>
      </c>
      <c r="J54" s="2">
        <f>IF(OR(E54="",G54="",'Fase de Grupos'!F54="",'Fase de Grupos'!H54=""),"",IF(AND(E54='Fase de Grupos'!F54,G54='Fase de Grupos'!H54),5,IF(SIGN(E54-G54)=SIGN('Fase de Grupos'!F54-'Fase de Grupos'!H54),3,0)))</f>
        <v>3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0</v>
      </c>
      <c r="F55" s="2" t="s">
        <v>6</v>
      </c>
      <c r="G55" s="4">
        <v>1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❌ Errou</v>
      </c>
      <c r="J55" s="2">
        <f>IF(OR(E55="",G55="",'Fase de Grupos'!F55="",'Fase de Grupos'!H55=""),"",IF(AND(E55='Fase de Grupos'!F55,G55='Fase de Grupos'!H55),5,IF(SIGN(E55-G55)=SIGN('Fase de Grupos'!F55-'Fase de Grupos'!H55),3,0)))</f>
        <v>0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0</v>
      </c>
      <c r="F56" s="2" t="s">
        <v>6</v>
      </c>
      <c r="G56" s="4">
        <v>5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🟡 Acertou resultado</v>
      </c>
      <c r="J56" s="2">
        <f>IF(OR(E56="",G56="",'Fase de Grupos'!F56="",'Fase de Grupos'!H56=""),"",IF(AND(E56='Fase de Grupos'!F56,G56='Fase de Grupos'!H56),5,IF(SIGN(E56-G56)=SIGN('Fase de Grupos'!F56-'Fase de Grupos'!H56),3,0)))</f>
        <v>3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2</v>
      </c>
      <c r="F57" s="2" t="s">
        <v>6</v>
      </c>
      <c r="G57" s="4">
        <v>2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2</v>
      </c>
      <c r="F58" s="2" t="s">
        <v>6</v>
      </c>
      <c r="G58" s="4">
        <v>1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❌ Errou</v>
      </c>
      <c r="J58" s="2">
        <f>IF(OR(E58="",G58="",'Fase de Grupos'!F58="",'Fase de Grupos'!H58=""),"",IF(AND(E58='Fase de Grupos'!F58,G58='Fase de Grupos'!H58),5,IF(SIGN(E58-G58)=SIGN('Fase de Grupos'!F58-'Fase de Grupos'!H58),3,0)))</f>
        <v>0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0</v>
      </c>
      <c r="F59" s="2" t="s">
        <v>6</v>
      </c>
      <c r="G59" s="4">
        <v>4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🟡 Acertou resultado</v>
      </c>
      <c r="J59" s="2">
        <f>IF(OR(E59="",G59="",'Fase de Grupos'!F59="",'Fase de Grupos'!H59=""),"",IF(AND(E59='Fase de Grupos'!F59,G59='Fase de Grupos'!H59),5,IF(SIGN(E59-G59)=SIGN('Fase de Grupos'!F59-'Fase de Grupos'!H59),3,0)))</f>
        <v>3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1</v>
      </c>
      <c r="F60" s="2" t="s">
        <v>6</v>
      </c>
      <c r="G60" s="4">
        <v>3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❌ Errou</v>
      </c>
      <c r="J60" s="2">
        <f>IF(OR(E60="",G60="",'Fase de Grupos'!F60="",'Fase de Grupos'!H60=""),"",IF(AND(E60='Fase de Grupos'!F60,G60='Fase de Grupos'!H60),5,IF(SIGN(E60-G60)=SIGN('Fase de Grupos'!F60-'Fase de Grupos'!H60),3,0)))</f>
        <v>0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1</v>
      </c>
      <c r="F61" s="2" t="s">
        <v>6</v>
      </c>
      <c r="G61" s="4">
        <v>2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❌ Errou</v>
      </c>
      <c r="J61" s="2">
        <f>IF(OR(E61="",G61="",'Fase de Grupos'!F61="",'Fase de Grupos'!H61=""),"",IF(AND(E61='Fase de Grupos'!F61,G61='Fase de Grupos'!H61),5,IF(SIGN(E61-G61)=SIGN('Fase de Grupos'!F61-'Fase de Grupos'!H61),3,0)))</f>
        <v>0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0</v>
      </c>
      <c r="F62" s="2" t="s">
        <v>6</v>
      </c>
      <c r="G62" s="4">
        <v>2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🟡 Acertou resultado</v>
      </c>
      <c r="J62" s="2">
        <f>IF(OR(E62="",G62="",'Fase de Grupos'!F62="",'Fase de Grupos'!H62=""),"",IF(AND(E62='Fase de Grupos'!F62,G62='Fase de Grupos'!H62),5,IF(SIGN(E62-G62)=SIGN('Fase de Grupos'!F62-'Fase de Grupos'!H62),3,0)))</f>
        <v>3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1</v>
      </c>
      <c r="F63" s="2" t="s">
        <v>6</v>
      </c>
      <c r="G63" s="4">
        <v>0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🟡 Acertou resultado</v>
      </c>
      <c r="J63" s="2">
        <f>IF(OR(E63="",G63="",'Fase de Grupos'!F63="",'Fase de Grupos'!H63=""),"",IF(AND(E63='Fase de Grupos'!F63,G63='Fase de Grupos'!H63),5,IF(SIGN(E63-G63)=SIGN('Fase de Grupos'!F63-'Fase de Grupos'!H63),3,0)))</f>
        <v>3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1</v>
      </c>
      <c r="F64" s="2" t="s">
        <v>6</v>
      </c>
      <c r="G64" s="4">
        <v>0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❌ Errou</v>
      </c>
      <c r="J64" s="2">
        <f>IF(OR(E64="",G64="",'Fase de Grupos'!F64="",'Fase de Grupos'!H64=""),"",IF(AND(E64='Fase de Grupos'!F64,G64='Fase de Grupos'!H64),5,IF(SIGN(E64-G64)=SIGN('Fase de Grupos'!F64-'Fase de Grupos'!H64),3,0)))</f>
        <v>0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0</v>
      </c>
      <c r="F65" s="2" t="s">
        <v>6</v>
      </c>
      <c r="G65" s="4">
        <v>2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🟡 Acertou resultado</v>
      </c>
      <c r="J65" s="2">
        <f>IF(OR(E65="",G65="",'Fase de Grupos'!F65="",'Fase de Grupos'!H65=""),"",IF(AND(E65='Fase de Grupos'!F65,G65='Fase de Grupos'!H65),5,IF(SIGN(E65-G65)=SIGN('Fase de Grupos'!F65-'Fase de Grupos'!H65),3,0)))</f>
        <v>3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3</v>
      </c>
      <c r="F66" s="2" t="s">
        <v>6</v>
      </c>
      <c r="G66" s="4">
        <v>1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❌ Errou</v>
      </c>
      <c r="J66" s="2">
        <f>IF(OR(E66="",G66="",'Fase de Grupos'!F66="",'Fase de Grupos'!H66=""),"",IF(AND(E66='Fase de Grupos'!F66,G66='Fase de Grupos'!H66),5,IF(SIGN(E66-G66)=SIGN('Fase de Grupos'!F66-'Fase de Grupos'!H66),3,0)))</f>
        <v>0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1</v>
      </c>
      <c r="F67" s="2" t="s">
        <v>6</v>
      </c>
      <c r="G67" s="4">
        <v>1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❌ Errou</v>
      </c>
      <c r="J67" s="2">
        <f>IF(OR(E67="",G67="",'Fase de Grupos'!F67="",'Fase de Grupos'!H67=""),"",IF(AND(E67='Fase de Grupos'!F67,G67='Fase de Grupos'!H67),5,IF(SIGN(E67-G67)=SIGN('Fase de Grupos'!F67-'Fase de Grupos'!H67),3,0)))</f>
        <v>0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0</v>
      </c>
      <c r="F68" s="2" t="s">
        <v>6</v>
      </c>
      <c r="G68" s="4">
        <v>3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2</v>
      </c>
      <c r="F69" s="2" t="s">
        <v>6</v>
      </c>
      <c r="G69" s="4">
        <v>2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❌ Errou</v>
      </c>
      <c r="J69" s="2">
        <f>IF(OR(E69="",G69="",'Fase de Grupos'!F69="",'Fase de Grupos'!H69=""),"",IF(AND(E69='Fase de Grupos'!F69,G69='Fase de Grupos'!H69),5,IF(SIGN(E69-G69)=SIGN('Fase de Grupos'!F69-'Fase de Grupos'!H69),3,0)))</f>
        <v>0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0</v>
      </c>
      <c r="F70" s="2" t="s">
        <v>6</v>
      </c>
      <c r="G70" s="4">
        <v>1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❌ Errou</v>
      </c>
      <c r="J70" s="2">
        <f>IF(OR(E70="",G70="",'Fase de Grupos'!F70="",'Fase de Grupos'!H70=""),"",IF(AND(E70='Fase de Grupos'!F70,G70='Fase de Grupos'!H70),5,IF(SIGN(E70-G70)=SIGN('Fase de Grupos'!F70-'Fase de Grupos'!H70),3,0)))</f>
        <v>0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0</v>
      </c>
      <c r="F71" s="2" t="s">
        <v>6</v>
      </c>
      <c r="G71" s="4">
        <v>3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🟡 Acertou resultado</v>
      </c>
      <c r="J71" s="2">
        <f>IF(OR(E71="",G71="",'Fase de Grupos'!F71="",'Fase de Grupos'!H71=""),"",IF(AND(E71='Fase de Grupos'!F71,G71='Fase de Grupos'!H71),5,IF(SIGN(E71-G71)=SIGN('Fase de Grupos'!F71-'Fase de Grupos'!H71),3,0)))</f>
        <v>3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1</v>
      </c>
      <c r="F72" s="2" t="s">
        <v>6</v>
      </c>
      <c r="G72" s="4">
        <v>3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❌ Errou</v>
      </c>
      <c r="J72" s="2">
        <f>IF(OR(E72="",G72="",'Fase de Grupos'!F72="",'Fase de Grupos'!H72=""),"",IF(AND(E72='Fase de Grupos'!F72,G72='Fase de Grupos'!H72),5,IF(SIGN(E72-G72)=SIGN('Fase de Grupos'!F72-'Fase de Grupos'!H72),3,0)))</f>
        <v>0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1</v>
      </c>
      <c r="F73" s="2" t="s">
        <v>6</v>
      </c>
      <c r="G73" s="4">
        <v>1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❌ Errou</v>
      </c>
      <c r="J73" s="2">
        <f>IF(OR(E73="",G73="",'Fase de Grupos'!F73="",'Fase de Grupos'!H73=""),"",IF(AND(E73='Fase de Grupos'!F73,G73='Fase de Grupos'!H73),5,IF(SIGN(E73-G73)=SIGN('Fase de Grupos'!F73-'Fase de Grupos'!H73),3,0)))</f>
        <v>0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97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79998168889431442"/>
  </sheetPr>
  <dimension ref="A1:J83"/>
  <sheetViews>
    <sheetView workbookViewId="0">
      <pane ySplit="1" topLeftCell="A2" activePane="bottomLeft" state="frozen"/>
      <selection activeCell="E2" sqref="E2:G13"/>
      <selection pane="bottomLeft" activeCell="E2" sqref="E2:G1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s="23" customFormat="1" x14ac:dyDescent="0.35">
      <c r="A14" s="20">
        <v>13</v>
      </c>
      <c r="B14" s="20" t="s">
        <v>64</v>
      </c>
      <c r="C14" s="20" t="s">
        <v>130</v>
      </c>
      <c r="D14" s="21" t="s">
        <v>67</v>
      </c>
      <c r="E14" s="22">
        <v>6</v>
      </c>
      <c r="F14" s="20" t="s">
        <v>6</v>
      </c>
      <c r="G14" s="22">
        <v>0</v>
      </c>
      <c r="H14" s="21" t="s">
        <v>68</v>
      </c>
      <c r="I14" s="20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❌ Errou</v>
      </c>
      <c r="J14" s="20">
        <f>IF(OR(E14="",G14="",'Fase de Grupos'!F14="",'Fase de Grupos'!H14=""),"",IF(AND(E14='Fase de Grupos'!F14,G14='Fase de Grupos'!H14),5,IF(SIGN(E14-G14)=SIGN('Fase de Grupos'!F14-'Fase de Grupos'!H14),3,0)))</f>
        <v>0</v>
      </c>
    </row>
    <row r="15" spans="1:10" s="23" customFormat="1" x14ac:dyDescent="0.35">
      <c r="A15" s="20">
        <v>14</v>
      </c>
      <c r="B15" s="20" t="s">
        <v>64</v>
      </c>
      <c r="C15" s="20" t="s">
        <v>129</v>
      </c>
      <c r="D15" s="21" t="s">
        <v>71</v>
      </c>
      <c r="E15" s="22">
        <v>2</v>
      </c>
      <c r="F15" s="20" t="s">
        <v>6</v>
      </c>
      <c r="G15" s="22">
        <v>1</v>
      </c>
      <c r="H15" s="21" t="s">
        <v>72</v>
      </c>
      <c r="I15" s="20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❌ Errou</v>
      </c>
      <c r="J15" s="20">
        <f>IF(OR(E15="",G15="",'Fase de Grupos'!F15="",'Fase de Grupos'!H15=""),"",IF(AND(E15='Fase de Grupos'!F15,G15='Fase de Grupos'!H15),5,IF(SIGN(E15-G15)=SIGN('Fase de Grupos'!F15-'Fase de Grupos'!H15),3,0)))</f>
        <v>0</v>
      </c>
    </row>
    <row r="16" spans="1:10" s="23" customFormat="1" x14ac:dyDescent="0.35">
      <c r="A16" s="20">
        <v>15</v>
      </c>
      <c r="B16" s="20" t="s">
        <v>64</v>
      </c>
      <c r="C16" s="20" t="s">
        <v>130</v>
      </c>
      <c r="D16" s="21" t="s">
        <v>74</v>
      </c>
      <c r="E16" s="22">
        <v>0</v>
      </c>
      <c r="F16" s="20" t="s">
        <v>6</v>
      </c>
      <c r="G16" s="22">
        <v>1</v>
      </c>
      <c r="H16" s="21" t="s">
        <v>75</v>
      </c>
      <c r="I16" s="20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❌ Errou</v>
      </c>
      <c r="J16" s="20">
        <f>IF(OR(E16="",G16="",'Fase de Grupos'!F16="",'Fase de Grupos'!H16=""),"",IF(AND(E16='Fase de Grupos'!F16,G16='Fase de Grupos'!H16),5,IF(SIGN(E16-G16)=SIGN('Fase de Grupos'!F16-'Fase de Grupos'!H16),3,0)))</f>
        <v>0</v>
      </c>
    </row>
    <row r="17" spans="1:10" s="23" customFormat="1" x14ac:dyDescent="0.35">
      <c r="A17" s="20">
        <v>16</v>
      </c>
      <c r="B17" s="20" t="s">
        <v>64</v>
      </c>
      <c r="C17" s="20" t="s">
        <v>129</v>
      </c>
      <c r="D17" s="21" t="s">
        <v>77</v>
      </c>
      <c r="E17" s="22">
        <v>0</v>
      </c>
      <c r="F17" s="20" t="s">
        <v>6</v>
      </c>
      <c r="G17" s="22">
        <v>1</v>
      </c>
      <c r="H17" s="21" t="s">
        <v>78</v>
      </c>
      <c r="I17" s="20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❌ Errou</v>
      </c>
      <c r="J17" s="20">
        <f>IF(OR(E17="",G17="",'Fase de Grupos'!F17="",'Fase de Grupos'!H17=""),"",IF(AND(E17='Fase de Grupos'!F17,G17='Fase de Grupos'!H17),5,IF(SIGN(E17-G17)=SIGN('Fase de Grupos'!F17-'Fase de Grupos'!H17),3,0)))</f>
        <v>0</v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3</v>
      </c>
      <c r="F18" s="2" t="s">
        <v>6</v>
      </c>
      <c r="G18" s="4">
        <v>1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✅ Placar exato!</v>
      </c>
      <c r="J18" s="2">
        <f>IF(OR(E18="",G18="",'Fase de Grupos'!F18="",'Fase de Grupos'!H18=""),"",IF(AND(E18='Fase de Grupos'!F18,G18='Fase de Grupos'!H18),5,IF(SIGN(E18-G18)=SIGN('Fase de Grupos'!F18-'Fase de Grupos'!H18),3,0)))</f>
        <v>5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0</v>
      </c>
      <c r="F19" s="2" t="s">
        <v>6</v>
      </c>
      <c r="G19" s="4">
        <v>2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🟡 Acertou resultado</v>
      </c>
      <c r="J19" s="2">
        <f>IF(OR(E19="",G19="",'Fase de Grupos'!F19="",'Fase de Grupos'!H19=""),"",IF(AND(E19='Fase de Grupos'!F19,G19='Fase de Grupos'!H19),5,IF(SIGN(E19-G19)=SIGN('Fase de Grupos'!F19-'Fase de Grupos'!H19),3,0)))</f>
        <v>3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2</v>
      </c>
      <c r="F20" s="2" t="s">
        <v>6</v>
      </c>
      <c r="G20" s="4">
        <v>0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🟡 Acertou resultado</v>
      </c>
      <c r="J20" s="2">
        <f>IF(OR(E20="",G20="",'Fase de Grupos'!F20="",'Fase de Grupos'!H20=""),"",IF(AND(E20='Fase de Grupos'!F20,G20='Fase de Grupos'!H20),5,IF(SIGN(E20-G20)=SIGN('Fase de Grupos'!F20-'Fase de Grupos'!H20),3,0)))</f>
        <v>3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2</v>
      </c>
      <c r="F21" s="2" t="s">
        <v>6</v>
      </c>
      <c r="G21" s="4">
        <v>1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🟡 Acertou resultado</v>
      </c>
      <c r="J21" s="2">
        <f>IF(OR(E21="",G21="",'Fase de Grupos'!F21="",'Fase de Grupos'!H21=""),"",IF(AND(E21='Fase de Grupos'!F21,G21='Fase de Grupos'!H21),5,IF(SIGN(E21-G21)=SIGN('Fase de Grupos'!F21-'Fase de Grupos'!H21),3,0)))</f>
        <v>3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7</v>
      </c>
      <c r="F22" s="2" t="s">
        <v>6</v>
      </c>
      <c r="G22" s="4">
        <v>0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3</v>
      </c>
      <c r="F23" s="2" t="s">
        <v>6</v>
      </c>
      <c r="G23" s="4">
        <v>1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🟡 Acertou resultado</v>
      </c>
      <c r="J23" s="2">
        <f>IF(OR(E23="",G23="",'Fase de Grupos'!F23="",'Fase de Grupos'!H23=""),"",IF(AND(E23='Fase de Grupos'!F23,G23='Fase de Grupos'!H23),5,IF(SIGN(E23-G23)=SIGN('Fase de Grupos'!F23-'Fase de Grupos'!H23),3,0)))</f>
        <v>3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2</v>
      </c>
      <c r="F24" s="2" t="s">
        <v>6</v>
      </c>
      <c r="G24" s="4">
        <v>0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🟡 Acertou resultado</v>
      </c>
      <c r="J24" s="2">
        <f>IF(OR(E24="",G24="",'Fase de Grupos'!F24="",'Fase de Grupos'!H24=""),"",IF(AND(E24='Fase de Grupos'!F24,G24='Fase de Grupos'!H24),5,IF(SIGN(E24-G24)=SIGN('Fase de Grupos'!F24-'Fase de Grupos'!H24),3,0)))</f>
        <v>3</v>
      </c>
    </row>
    <row r="25" spans="1:10" x14ac:dyDescent="0.35">
      <c r="A25" s="2">
        <v>24</v>
      </c>
      <c r="B25" s="2" t="s">
        <v>89</v>
      </c>
      <c r="C25" s="2" t="s">
        <v>133</v>
      </c>
      <c r="D25" s="3" t="s">
        <v>100</v>
      </c>
      <c r="E25" s="4">
        <v>0</v>
      </c>
      <c r="F25" s="2" t="s">
        <v>6</v>
      </c>
      <c r="G25" s="4">
        <v>2</v>
      </c>
      <c r="H25" s="3" t="s">
        <v>101</v>
      </c>
      <c r="I25" s="2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🟡 Acertou resultado</v>
      </c>
      <c r="J25" s="2">
        <f>IF(OR(E25="",G25="",'Fase de Grupos'!F25="",'Fase de Grupos'!H25=""),"",IF(AND(E25='Fase de Grupos'!F25,G25='Fase de Grupos'!H25),5,IF(SIGN(E25-G25)=SIGN('Fase de Grupos'!F25-'Fase de Grupos'!H25),3,0)))</f>
        <v>3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1</v>
      </c>
      <c r="F26" s="2" t="s">
        <v>6</v>
      </c>
      <c r="G26" s="4">
        <v>0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❌ Errou</v>
      </c>
      <c r="J26" s="2">
        <f>IF(OR(E26="",G26="",'Fase de Grupos'!F26="",'Fase de Grupos'!H26=""),"",IF(AND(E26='Fase de Grupos'!F26,G26='Fase de Grupos'!H26),5,IF(SIGN(E26-G26)=SIGN('Fase de Grupos'!F26-'Fase de Grupos'!H26),3,0)))</f>
        <v>0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1</v>
      </c>
      <c r="F27" s="2" t="s">
        <v>6</v>
      </c>
      <c r="G27" s="4">
        <v>0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🟡 Acertou resultado</v>
      </c>
      <c r="J27" s="2">
        <f>IF(OR(E27="",G27="",'Fase de Grupos'!F27="",'Fase de Grupos'!H27=""),"",IF(AND(E27='Fase de Grupos'!F27,G27='Fase de Grupos'!H27),5,IF(SIGN(E27-G27)=SIGN('Fase de Grupos'!F27-'Fase de Grupos'!H27),3,0)))</f>
        <v>3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3</v>
      </c>
      <c r="F28" s="2" t="s">
        <v>6</v>
      </c>
      <c r="G28" s="4">
        <v>0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🟡 Acertou resultado</v>
      </c>
      <c r="J28" s="2">
        <f>IF(OR(E28="",G28="",'Fase de Grupos'!F28="",'Fase de Grupos'!H28=""),"",IF(AND(E28='Fase de Grupos'!F28,G28='Fase de Grupos'!H28),5,IF(SIGN(E28-G28)=SIGN('Fase de Grupos'!F28-'Fase de Grupos'!H28),3,0)))</f>
        <v>3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2</v>
      </c>
      <c r="F29" s="2" t="s">
        <v>6</v>
      </c>
      <c r="G29" s="4">
        <v>2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❌ Errou</v>
      </c>
      <c r="J29" s="2">
        <f>IF(OR(E29="",G29="",'Fase de Grupos'!F29="",'Fase de Grupos'!H29=""),"",IF(AND(E29='Fase de Grupos'!F29,G29='Fase de Grupos'!H29),5,IF(SIGN(E29-G29)=SIGN('Fase de Grupos'!F29-'Fase de Grupos'!H29),3,0)))</f>
        <v>0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2</v>
      </c>
      <c r="F30" s="2" t="s">
        <v>6</v>
      </c>
      <c r="G30" s="4">
        <v>2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❌ Errou</v>
      </c>
      <c r="J30" s="2">
        <f>IF(OR(E30="",G30="",'Fase de Grupos'!F30="",'Fase de Grupos'!H30=""),"",IF(AND(E30='Fase de Grupos'!F30,G30='Fase de Grupos'!H30),5,IF(SIGN(E30-G30)=SIGN('Fase de Grupos'!F30-'Fase de Grupos'!H30),3,0)))</f>
        <v>0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1</v>
      </c>
      <c r="F31" s="2" t="s">
        <v>6</v>
      </c>
      <c r="G31" s="4">
        <v>3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🟡 Acertou resultado</v>
      </c>
      <c r="J31" s="2">
        <f>IF(OR(E31="",G31="",'Fase de Grupos'!F31="",'Fase de Grupos'!H31=""),"",IF(AND(E31='Fase de Grupos'!F31,G31='Fase de Grupos'!H31),5,IF(SIGN(E31-G31)=SIGN('Fase de Grupos'!F31-'Fase de Grupos'!H31),3,0)))</f>
        <v>3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4</v>
      </c>
      <c r="F32" s="2" t="s">
        <v>6</v>
      </c>
      <c r="G32" s="4">
        <v>0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🟡 Acertou resultado</v>
      </c>
      <c r="J32" s="2">
        <f>IF(OR(E32="",G32="",'Fase de Grupos'!F32="",'Fase de Grupos'!H32=""),"",IF(AND(E32='Fase de Grupos'!F32,G32='Fase de Grupos'!H32),5,IF(SIGN(E32-G32)=SIGN('Fase de Grupos'!F32-'Fase de Grupos'!H32),3,0)))</f>
        <v>3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1</v>
      </c>
      <c r="F33" s="2" t="s">
        <v>6</v>
      </c>
      <c r="G33" s="4">
        <v>1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❌ Errou</v>
      </c>
      <c r="J33" s="2">
        <f>IF(OR(E33="",G33="",'Fase de Grupos'!F33="",'Fase de Grupos'!H33=""),"",IF(AND(E33='Fase de Grupos'!F33,G33='Fase de Grupos'!H33),5,IF(SIGN(E33-G33)=SIGN('Fase de Grupos'!F33-'Fase de Grupos'!H33),3,0)))</f>
        <v>0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3</v>
      </c>
      <c r="F34" s="2" t="s">
        <v>6</v>
      </c>
      <c r="G34" s="4">
        <v>1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🟡 Acertou resultado</v>
      </c>
      <c r="J34" s="2">
        <f>IF(OR(E34="",G34="",'Fase de Grupos'!F34="",'Fase de Grupos'!H34=""),"",IF(AND(E34='Fase de Grupos'!F34,G34='Fase de Grupos'!H34),5,IF(SIGN(E34-G34)=SIGN('Fase de Grupos'!F34-'Fase de Grupos'!H34),3,0)))</f>
        <v>3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4</v>
      </c>
      <c r="F35" s="2" t="s">
        <v>6</v>
      </c>
      <c r="G35" s="4">
        <v>0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❌ Errou</v>
      </c>
      <c r="J35" s="2">
        <f>IF(OR(E35="",G35="",'Fase de Grupos'!F35="",'Fase de Grupos'!H35=""),"",IF(AND(E35='Fase de Grupos'!F35,G35='Fase de Grupos'!H35),5,IF(SIGN(E35-G35)=SIGN('Fase de Grupos'!F35-'Fase de Grupos'!H35),3,0)))</f>
        <v>0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2</v>
      </c>
      <c r="F36" s="2" t="s">
        <v>6</v>
      </c>
      <c r="G36" s="4">
        <v>1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🟡 Acertou resultado</v>
      </c>
      <c r="J36" s="2">
        <f>IF(OR(E36="",G36="",'Fase de Grupos'!F36="",'Fase de Grupos'!H36=""),"",IF(AND(E36='Fase de Grupos'!F36,G36='Fase de Grupos'!H36),5,IF(SIGN(E36-G36)=SIGN('Fase de Grupos'!F36-'Fase de Grupos'!H36),3,0)))</f>
        <v>3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1</v>
      </c>
      <c r="F37" s="2" t="s">
        <v>6</v>
      </c>
      <c r="G37" s="4">
        <v>3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🟡 Acertou resultado</v>
      </c>
      <c r="J37" s="2">
        <f>IF(OR(E37="",G37="",'Fase de Grupos'!F37="",'Fase de Grupos'!H37=""),"",IF(AND(E37='Fase de Grupos'!F37,G37='Fase de Grupos'!H37),5,IF(SIGN(E37-G37)=SIGN('Fase de Grupos'!F37-'Fase de Grupos'!H37),3,0)))</f>
        <v>3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4</v>
      </c>
      <c r="F38" s="2" t="s">
        <v>6</v>
      </c>
      <c r="G38" s="4">
        <v>0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✅ Placar exato!</v>
      </c>
      <c r="J38" s="2">
        <f>IF(OR(E38="",G38="",'Fase de Grupos'!F38="",'Fase de Grupos'!H38=""),"",IF(AND(E38='Fase de Grupos'!F38,G38='Fase de Grupos'!H38),5,IF(SIGN(E38-G38)=SIGN('Fase de Grupos'!F38-'Fase de Grupos'!H38),3,0)))</f>
        <v>5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2</v>
      </c>
      <c r="F39" s="2" t="s">
        <v>6</v>
      </c>
      <c r="G39" s="4">
        <v>0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❌ Errou</v>
      </c>
      <c r="J39" s="2">
        <f>IF(OR(E39="",G39="",'Fase de Grupos'!F39="",'Fase de Grupos'!H39=""),"",IF(AND(E39='Fase de Grupos'!F39,G39='Fase de Grupos'!H39),5,IF(SIGN(E39-G39)=SIGN('Fase de Grupos'!F39-'Fase de Grupos'!H39),3,0)))</f>
        <v>0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4</v>
      </c>
      <c r="F40" s="2" t="s">
        <v>6</v>
      </c>
      <c r="G40" s="4">
        <v>0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1</v>
      </c>
      <c r="F41" s="2" t="s">
        <v>6</v>
      </c>
      <c r="G41" s="4">
        <v>1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❌ Errou</v>
      </c>
      <c r="J41" s="2">
        <f>IF(OR(E41="",G41="",'Fase de Grupos'!F41="",'Fase de Grupos'!H41=""),"",IF(AND(E41='Fase de Grupos'!F41,G41='Fase de Grupos'!H41),5,IF(SIGN(E41-G41)=SIGN('Fase de Grupos'!F41-'Fase de Grupos'!H41),3,0)))</f>
        <v>0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3</v>
      </c>
      <c r="F42" s="2" t="s">
        <v>6</v>
      </c>
      <c r="G42" s="4">
        <v>0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✅ Placar exato!</v>
      </c>
      <c r="J42" s="2">
        <f>IF(OR(E42="",G42="",'Fase de Grupos'!F42="",'Fase de Grupos'!H42=""),"",IF(AND(E42='Fase de Grupos'!F42,G42='Fase de Grupos'!H42),5,IF(SIGN(E42-G42)=SIGN('Fase de Grupos'!F42-'Fase de Grupos'!H42),3,0)))</f>
        <v>5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2</v>
      </c>
      <c r="F43" s="2" t="s">
        <v>6</v>
      </c>
      <c r="G43" s="4">
        <v>2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❌ Errou</v>
      </c>
      <c r="J43" s="2">
        <f>IF(OR(E43="",G43="",'Fase de Grupos'!F43="",'Fase de Grupos'!H43=""),"",IF(AND(E43='Fase de Grupos'!F43,G43='Fase de Grupos'!H43),5,IF(SIGN(E43-G43)=SIGN('Fase de Grupos'!F43-'Fase de Grupos'!H43),3,0)))</f>
        <v>0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1</v>
      </c>
      <c r="F44" s="2" t="s">
        <v>6</v>
      </c>
      <c r="G44" s="4">
        <v>0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🟡 Acertou resultado</v>
      </c>
      <c r="J44" s="2">
        <f>IF(OR(E44="",G44="",'Fase de Grupos'!F44="",'Fase de Grupos'!H44=""),"",IF(AND(E44='Fase de Grupos'!F44,G44='Fase de Grupos'!H44),5,IF(SIGN(E44-G44)=SIGN('Fase de Grupos'!F44-'Fase de Grupos'!H44),3,0)))</f>
        <v>3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0</v>
      </c>
      <c r="F45" s="2" t="s">
        <v>6</v>
      </c>
      <c r="G45" s="4">
        <v>0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❌ Errou</v>
      </c>
      <c r="J45" s="2">
        <f>IF(OR(E45="",G45="",'Fase de Grupos'!F45="",'Fase de Grupos'!H45=""),"",IF(AND(E45='Fase de Grupos'!F45,G45='Fase de Grupos'!H45),5,IF(SIGN(E45-G45)=SIGN('Fase de Grupos'!F45-'Fase de Grupos'!H45),3,0)))</f>
        <v>0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2</v>
      </c>
      <c r="F46" s="2" t="s">
        <v>6</v>
      </c>
      <c r="G46" s="4">
        <v>0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❌ Errou</v>
      </c>
      <c r="J46" s="2">
        <f>IF(OR(E46="",G46="",'Fase de Grupos'!F46="",'Fase de Grupos'!H46=""),"",IF(AND(E46='Fase de Grupos'!F46,G46='Fase de Grupos'!H46),5,IF(SIGN(E46-G46)=SIGN('Fase de Grupos'!F46-'Fase de Grupos'!H46),3,0)))</f>
        <v>0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0</v>
      </c>
      <c r="F47" s="2" t="s">
        <v>6</v>
      </c>
      <c r="G47" s="4">
        <v>3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🟡 Acertou resultado</v>
      </c>
      <c r="J47" s="2">
        <f>IF(OR(E47="",G47="",'Fase de Grupos'!F47="",'Fase de Grupos'!H47=""),"",IF(AND(E47='Fase de Grupos'!F47,G47='Fase de Grupos'!H47),5,IF(SIGN(E47-G47)=SIGN('Fase de Grupos'!F47-'Fase de Grupos'!H47),3,0)))</f>
        <v>3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2</v>
      </c>
      <c r="F48" s="2" t="s">
        <v>6</v>
      </c>
      <c r="G48" s="4">
        <v>0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4</v>
      </c>
      <c r="F49" s="2" t="s">
        <v>6</v>
      </c>
      <c r="G49" s="4">
        <v>0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🟡 Acertou resultado</v>
      </c>
      <c r="J49" s="2">
        <f>IF(OR(E49="",G49="",'Fase de Grupos'!F49="",'Fase de Grupos'!H49=""),"",IF(AND(E49='Fase de Grupos'!F49,G49='Fase de Grupos'!H49),5,IF(SIGN(E49-G49)=SIGN('Fase de Grupos'!F49-'Fase de Grupos'!H49),3,0)))</f>
        <v>3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1</v>
      </c>
      <c r="F50" s="2" t="s">
        <v>6</v>
      </c>
      <c r="G50" s="4">
        <v>2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🟡 Acertou resultado</v>
      </c>
      <c r="J50" s="2">
        <f>IF(OR(E50="",G50="",'Fase de Grupos'!F50="",'Fase de Grupos'!H50=""),"",IF(AND(E50='Fase de Grupos'!F50,G50='Fase de Grupos'!H50),5,IF(SIGN(E50-G50)=SIGN('Fase de Grupos'!F50-'Fase de Grupos'!H50),3,0)))</f>
        <v>3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4</v>
      </c>
      <c r="F51" s="2" t="s">
        <v>6</v>
      </c>
      <c r="G51" s="4">
        <v>0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🟡 Acertou resultado</v>
      </c>
      <c r="J51" s="2">
        <f>IF(OR(E51="",G51="",'Fase de Grupos'!F51="",'Fase de Grupos'!H51=""),"",IF(AND(E51='Fase de Grupos'!F51,G51='Fase de Grupos'!H51),5,IF(SIGN(E51-G51)=SIGN('Fase de Grupos'!F51-'Fase de Grupos'!H51),3,0)))</f>
        <v>3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2</v>
      </c>
      <c r="F52" s="2" t="s">
        <v>6</v>
      </c>
      <c r="G52" s="4">
        <v>1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✅ Placar exato!</v>
      </c>
      <c r="J52" s="2">
        <f>IF(OR(E52="",G52="",'Fase de Grupos'!F52="",'Fase de Grupos'!H52=""),"",IF(AND(E52='Fase de Grupos'!F52,G52='Fase de Grupos'!H52),5,IF(SIGN(E52-G52)=SIGN('Fase de Grupos'!F52-'Fase de Grupos'!H52),3,0)))</f>
        <v>5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1</v>
      </c>
      <c r="F53" s="2" t="s">
        <v>6</v>
      </c>
      <c r="G53" s="4">
        <v>0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🟡 Acertou resultado</v>
      </c>
      <c r="J53" s="2">
        <f>IF(OR(E53="",G53="",'Fase de Grupos'!F53="",'Fase de Grupos'!H53=""),"",IF(AND(E53='Fase de Grupos'!F53,G53='Fase de Grupos'!H53),5,IF(SIGN(E53-G53)=SIGN('Fase de Grupos'!F53-'Fase de Grupos'!H53),3,0)))</f>
        <v>3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1</v>
      </c>
      <c r="F54" s="2" t="s">
        <v>6</v>
      </c>
      <c r="G54" s="4">
        <v>2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🟡 Acertou resultado</v>
      </c>
      <c r="J54" s="2">
        <f>IF(OR(E54="",G54="",'Fase de Grupos'!F54="",'Fase de Grupos'!H54=""),"",IF(AND(E54='Fase de Grupos'!F54,G54='Fase de Grupos'!H54),5,IF(SIGN(E54-G54)=SIGN('Fase de Grupos'!F54-'Fase de Grupos'!H54),3,0)))</f>
        <v>3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0</v>
      </c>
      <c r="F55" s="2" t="s">
        <v>6</v>
      </c>
      <c r="G55" s="4">
        <v>1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❌ Errou</v>
      </c>
      <c r="J55" s="2">
        <f>IF(OR(E55="",G55="",'Fase de Grupos'!F55="",'Fase de Grupos'!H55=""),"",IF(AND(E55='Fase de Grupos'!F55,G55='Fase de Grupos'!H55),5,IF(SIGN(E55-G55)=SIGN('Fase de Grupos'!F55-'Fase de Grupos'!H55),3,0)))</f>
        <v>0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0</v>
      </c>
      <c r="F56" s="2" t="s">
        <v>6</v>
      </c>
      <c r="G56" s="4">
        <v>4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🟡 Acertou resultado</v>
      </c>
      <c r="J56" s="2">
        <f>IF(OR(E56="",G56="",'Fase de Grupos'!F56="",'Fase de Grupos'!H56=""),"",IF(AND(E56='Fase de Grupos'!F56,G56='Fase de Grupos'!H56),5,IF(SIGN(E56-G56)=SIGN('Fase de Grupos'!F56-'Fase de Grupos'!H56),3,0)))</f>
        <v>3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1</v>
      </c>
      <c r="F57" s="2" t="s">
        <v>6</v>
      </c>
      <c r="G57" s="4">
        <v>3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2</v>
      </c>
      <c r="F58" s="2" t="s">
        <v>6</v>
      </c>
      <c r="G58" s="4">
        <v>2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🟡 Acertou resultado</v>
      </c>
      <c r="J58" s="2">
        <f>IF(OR(E58="",G58="",'Fase de Grupos'!F58="",'Fase de Grupos'!H58=""),"",IF(AND(E58='Fase de Grupos'!F58,G58='Fase de Grupos'!H58),5,IF(SIGN(E58-G58)=SIGN('Fase de Grupos'!F58-'Fase de Grupos'!H58),3,0)))</f>
        <v>3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1</v>
      </c>
      <c r="F59" s="2" t="s">
        <v>6</v>
      </c>
      <c r="G59" s="4">
        <v>4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🟡 Acertou resultado</v>
      </c>
      <c r="J59" s="2">
        <f>IF(OR(E59="",G59="",'Fase de Grupos'!F59="",'Fase de Grupos'!H59=""),"",IF(AND(E59='Fase de Grupos'!F59,G59='Fase de Grupos'!H59),5,IF(SIGN(E59-G59)=SIGN('Fase de Grupos'!F59-'Fase de Grupos'!H59),3,0)))</f>
        <v>3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0</v>
      </c>
      <c r="F60" s="2" t="s">
        <v>6</v>
      </c>
      <c r="G60" s="4">
        <v>2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❌ Errou</v>
      </c>
      <c r="J60" s="2">
        <f>IF(OR(E60="",G60="",'Fase de Grupos'!F60="",'Fase de Grupos'!H60=""),"",IF(AND(E60='Fase de Grupos'!F60,G60='Fase de Grupos'!H60),5,IF(SIGN(E60-G60)=SIGN('Fase de Grupos'!F60-'Fase de Grupos'!H60),3,0)))</f>
        <v>0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1</v>
      </c>
      <c r="F61" s="2" t="s">
        <v>6</v>
      </c>
      <c r="G61" s="4">
        <v>1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🟡 Acertou resultado</v>
      </c>
      <c r="J61" s="2">
        <f>IF(OR(E61="",G61="",'Fase de Grupos'!F61="",'Fase de Grupos'!H61=""),"",IF(AND(E61='Fase de Grupos'!F61,G61='Fase de Grupos'!H61),5,IF(SIGN(E61-G61)=SIGN('Fase de Grupos'!F61-'Fase de Grupos'!H61),3,0)))</f>
        <v>3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1</v>
      </c>
      <c r="F62" s="2" t="s">
        <v>6</v>
      </c>
      <c r="G62" s="4">
        <v>2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🟡 Acertou resultado</v>
      </c>
      <c r="J62" s="2">
        <f>IF(OR(E62="",G62="",'Fase de Grupos'!F62="",'Fase de Grupos'!H62=""),"",IF(AND(E62='Fase de Grupos'!F62,G62='Fase de Grupos'!H62),5,IF(SIGN(E62-G62)=SIGN('Fase de Grupos'!F62-'Fase de Grupos'!H62),3,0)))</f>
        <v>3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2</v>
      </c>
      <c r="F63" s="2" t="s">
        <v>6</v>
      </c>
      <c r="G63" s="4">
        <v>1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🟡 Acertou resultado</v>
      </c>
      <c r="J63" s="2">
        <f>IF(OR(E63="",G63="",'Fase de Grupos'!F63="",'Fase de Grupos'!H63=""),"",IF(AND(E63='Fase de Grupos'!F63,G63='Fase de Grupos'!H63),5,IF(SIGN(E63-G63)=SIGN('Fase de Grupos'!F63-'Fase de Grupos'!H63),3,0)))</f>
        <v>3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2</v>
      </c>
      <c r="F64" s="2" t="s">
        <v>6</v>
      </c>
      <c r="G64" s="4">
        <v>1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❌ Errou</v>
      </c>
      <c r="J64" s="2">
        <f>IF(OR(E64="",G64="",'Fase de Grupos'!F64="",'Fase de Grupos'!H64=""),"",IF(AND(E64='Fase de Grupos'!F64,G64='Fase de Grupos'!H64),5,IF(SIGN(E64-G64)=SIGN('Fase de Grupos'!F64-'Fase de Grupos'!H64),3,0)))</f>
        <v>0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0</v>
      </c>
      <c r="F65" s="2" t="s">
        <v>6</v>
      </c>
      <c r="G65" s="4">
        <v>3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🟡 Acertou resultado</v>
      </c>
      <c r="J65" s="2">
        <f>IF(OR(E65="",G65="",'Fase de Grupos'!F65="",'Fase de Grupos'!H65=""),"",IF(AND(E65='Fase de Grupos'!F65,G65='Fase de Grupos'!H65),5,IF(SIGN(E65-G65)=SIGN('Fase de Grupos'!F65-'Fase de Grupos'!H65),3,0)))</f>
        <v>3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0</v>
      </c>
      <c r="F66" s="2" t="s">
        <v>6</v>
      </c>
      <c r="G66" s="4">
        <v>2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❌ Errou</v>
      </c>
      <c r="J66" s="2">
        <f>IF(OR(E66="",G66="",'Fase de Grupos'!F66="",'Fase de Grupos'!H66=""),"",IF(AND(E66='Fase de Grupos'!F66,G66='Fase de Grupos'!H66),5,IF(SIGN(E66-G66)=SIGN('Fase de Grupos'!F66-'Fase de Grupos'!H66),3,0)))</f>
        <v>0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1</v>
      </c>
      <c r="F67" s="2" t="s">
        <v>6</v>
      </c>
      <c r="G67" s="4">
        <v>3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🟡 Acertou resultado</v>
      </c>
      <c r="J67" s="2">
        <f>IF(OR(E67="",G67="",'Fase de Grupos'!F67="",'Fase de Grupos'!H67=""),"",IF(AND(E67='Fase de Grupos'!F67,G67='Fase de Grupos'!H67),5,IF(SIGN(E67-G67)=SIGN('Fase de Grupos'!F67-'Fase de Grupos'!H67),3,0)))</f>
        <v>3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0</v>
      </c>
      <c r="F68" s="2" t="s">
        <v>6</v>
      </c>
      <c r="G68" s="4">
        <v>4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2</v>
      </c>
      <c r="F69" s="2" t="s">
        <v>6</v>
      </c>
      <c r="G69" s="4">
        <v>0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🟡 Acertou resultado</v>
      </c>
      <c r="J69" s="2">
        <f>IF(OR(E69="",G69="",'Fase de Grupos'!F69="",'Fase de Grupos'!H69=""),"",IF(AND(E69='Fase de Grupos'!F69,G69='Fase de Grupos'!H69),5,IF(SIGN(E69-G69)=SIGN('Fase de Grupos'!F69-'Fase de Grupos'!H69),3,0)))</f>
        <v>3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0</v>
      </c>
      <c r="F70" s="2" t="s">
        <v>6</v>
      </c>
      <c r="G70" s="4">
        <v>1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❌ Errou</v>
      </c>
      <c r="J70" s="2">
        <f>IF(OR(E70="",G70="",'Fase de Grupos'!F70="",'Fase de Grupos'!H70=""),"",IF(AND(E70='Fase de Grupos'!F70,G70='Fase de Grupos'!H70),5,IF(SIGN(E70-G70)=SIGN('Fase de Grupos'!F70-'Fase de Grupos'!H70),3,0)))</f>
        <v>0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0</v>
      </c>
      <c r="F71" s="2" t="s">
        <v>6</v>
      </c>
      <c r="G71" s="4">
        <v>3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🟡 Acertou resultado</v>
      </c>
      <c r="J71" s="2">
        <f>IF(OR(E71="",G71="",'Fase de Grupos'!F71="",'Fase de Grupos'!H71=""),"",IF(AND(E71='Fase de Grupos'!F71,G71='Fase de Grupos'!H71),5,IF(SIGN(E71-G71)=SIGN('Fase de Grupos'!F71-'Fase de Grupos'!H71),3,0)))</f>
        <v>3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1</v>
      </c>
      <c r="F72" s="2" t="s">
        <v>6</v>
      </c>
      <c r="G72" s="4">
        <v>1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🟡 Acertou resultado</v>
      </c>
      <c r="J72" s="2">
        <f>IF(OR(E72="",G72="",'Fase de Grupos'!F72="",'Fase de Grupos'!H72=""),"",IF(AND(E72='Fase de Grupos'!F72,G72='Fase de Grupos'!H72),5,IF(SIGN(E72-G72)=SIGN('Fase de Grupos'!F72-'Fase de Grupos'!H72),3,0)))</f>
        <v>3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0</v>
      </c>
      <c r="F73" s="2" t="s">
        <v>6</v>
      </c>
      <c r="G73" s="4">
        <v>2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❌ Errou</v>
      </c>
      <c r="J73" s="2">
        <f>IF(OR(E73="",G73="",'Fase de Grupos'!F73="",'Fase de Grupos'!H73=""),"",IF(AND(E73='Fase de Grupos'!F73,G73='Fase de Grupos'!H73),5,IF(SIGN(E73-G73)=SIGN('Fase de Grupos'!F73-'Fase de Grupos'!H73),3,0)))</f>
        <v>0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119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79998168889431442"/>
  </sheetPr>
  <dimension ref="A1:J83"/>
  <sheetViews>
    <sheetView workbookViewId="0">
      <pane ySplit="1" topLeftCell="A2" activePane="bottomLeft" state="frozen"/>
      <selection activeCell="E2" sqref="E2:G13"/>
      <selection pane="bottomLeft" activeCell="E2" sqref="E2:G1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s="23" customFormat="1" x14ac:dyDescent="0.35">
      <c r="A14" s="20">
        <v>13</v>
      </c>
      <c r="B14" s="20" t="s">
        <v>64</v>
      </c>
      <c r="C14" s="20" t="s">
        <v>130</v>
      </c>
      <c r="D14" s="21" t="s">
        <v>67</v>
      </c>
      <c r="E14" s="22">
        <v>5</v>
      </c>
      <c r="F14" s="20" t="s">
        <v>6</v>
      </c>
      <c r="G14" s="22">
        <v>0</v>
      </c>
      <c r="H14" s="21" t="s">
        <v>68</v>
      </c>
      <c r="I14" s="20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❌ Errou</v>
      </c>
      <c r="J14" s="20">
        <f>IF(OR(E14="",G14="",'Fase de Grupos'!F14="",'Fase de Grupos'!H14=""),"",IF(AND(E14='Fase de Grupos'!F14,G14='Fase de Grupos'!H14),5,IF(SIGN(E14-G14)=SIGN('Fase de Grupos'!F14-'Fase de Grupos'!H14),3,0)))</f>
        <v>0</v>
      </c>
    </row>
    <row r="15" spans="1:10" s="23" customFormat="1" x14ac:dyDescent="0.35">
      <c r="A15" s="20">
        <v>14</v>
      </c>
      <c r="B15" s="20" t="s">
        <v>64</v>
      </c>
      <c r="C15" s="20" t="s">
        <v>129</v>
      </c>
      <c r="D15" s="21" t="s">
        <v>71</v>
      </c>
      <c r="E15" s="22">
        <v>2</v>
      </c>
      <c r="F15" s="20" t="s">
        <v>6</v>
      </c>
      <c r="G15" s="22">
        <v>1</v>
      </c>
      <c r="H15" s="21" t="s">
        <v>72</v>
      </c>
      <c r="I15" s="20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❌ Errou</v>
      </c>
      <c r="J15" s="20">
        <f>IF(OR(E15="",G15="",'Fase de Grupos'!F15="",'Fase de Grupos'!H15=""),"",IF(AND(E15='Fase de Grupos'!F15,G15='Fase de Grupos'!H15),5,IF(SIGN(E15-G15)=SIGN('Fase de Grupos'!F15-'Fase de Grupos'!H15),3,0)))</f>
        <v>0</v>
      </c>
    </row>
    <row r="16" spans="1:10" s="23" customFormat="1" x14ac:dyDescent="0.35">
      <c r="A16" s="20">
        <v>15</v>
      </c>
      <c r="B16" s="20" t="s">
        <v>64</v>
      </c>
      <c r="C16" s="20" t="s">
        <v>130</v>
      </c>
      <c r="D16" s="21" t="s">
        <v>74</v>
      </c>
      <c r="E16" s="22">
        <v>1</v>
      </c>
      <c r="F16" s="20" t="s">
        <v>6</v>
      </c>
      <c r="G16" s="22">
        <v>1</v>
      </c>
      <c r="H16" s="21" t="s">
        <v>75</v>
      </c>
      <c r="I16" s="20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✅ Placar exato!</v>
      </c>
      <c r="J16" s="20">
        <f>IF(OR(E16="",G16="",'Fase de Grupos'!F16="",'Fase de Grupos'!H16=""),"",IF(AND(E16='Fase de Grupos'!F16,G16='Fase de Grupos'!H16),5,IF(SIGN(E16-G16)=SIGN('Fase de Grupos'!F16-'Fase de Grupos'!H16),3,0)))</f>
        <v>5</v>
      </c>
    </row>
    <row r="17" spans="1:10" s="23" customFormat="1" x14ac:dyDescent="0.35">
      <c r="A17" s="20">
        <v>16</v>
      </c>
      <c r="B17" s="20" t="s">
        <v>64</v>
      </c>
      <c r="C17" s="20" t="s">
        <v>129</v>
      </c>
      <c r="D17" s="21" t="s">
        <v>77</v>
      </c>
      <c r="E17" s="22">
        <v>1</v>
      </c>
      <c r="F17" s="20" t="s">
        <v>6</v>
      </c>
      <c r="G17" s="22">
        <v>1</v>
      </c>
      <c r="H17" s="21" t="s">
        <v>78</v>
      </c>
      <c r="I17" s="20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🟡 Acertou resultado</v>
      </c>
      <c r="J17" s="20">
        <f>IF(OR(E17="",G17="",'Fase de Grupos'!F17="",'Fase de Grupos'!H17=""),"",IF(AND(E17='Fase de Grupos'!F17,G17='Fase de Grupos'!H17),5,IF(SIGN(E17-G17)=SIGN('Fase de Grupos'!F17-'Fase de Grupos'!H17),3,0)))</f>
        <v>3</v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3</v>
      </c>
      <c r="F18" s="2" t="s">
        <v>6</v>
      </c>
      <c r="G18" s="4">
        <v>1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✅ Placar exato!</v>
      </c>
      <c r="J18" s="2">
        <f>IF(OR(E18="",G18="",'Fase de Grupos'!F18="",'Fase de Grupos'!H18=""),"",IF(AND(E18='Fase de Grupos'!F18,G18='Fase de Grupos'!H18),5,IF(SIGN(E18-G18)=SIGN('Fase de Grupos'!F18-'Fase de Grupos'!H18),3,0)))</f>
        <v>5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1</v>
      </c>
      <c r="F19" s="2" t="s">
        <v>6</v>
      </c>
      <c r="G19" s="4">
        <v>3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🟡 Acertou resultado</v>
      </c>
      <c r="J19" s="2">
        <f>IF(OR(E19="",G19="",'Fase de Grupos'!F19="",'Fase de Grupos'!H19=""),"",IF(AND(E19='Fase de Grupos'!F19,G19='Fase de Grupos'!H19),5,IF(SIGN(E19-G19)=SIGN('Fase de Grupos'!F19-'Fase de Grupos'!H19),3,0)))</f>
        <v>3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3</v>
      </c>
      <c r="F20" s="2" t="s">
        <v>6</v>
      </c>
      <c r="G20" s="4">
        <v>1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🟡 Acertou resultado</v>
      </c>
      <c r="J20" s="2">
        <f>IF(OR(E20="",G20="",'Fase de Grupos'!F20="",'Fase de Grupos'!H20=""),"",IF(AND(E20='Fase de Grupos'!F20,G20='Fase de Grupos'!H20),5,IF(SIGN(E20-G20)=SIGN('Fase de Grupos'!F20-'Fase de Grupos'!H20),3,0)))</f>
        <v>3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1</v>
      </c>
      <c r="F21" s="2" t="s">
        <v>6</v>
      </c>
      <c r="G21" s="4">
        <v>0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🟡 Acertou resultado</v>
      </c>
      <c r="J21" s="2">
        <f>IF(OR(E21="",G21="",'Fase de Grupos'!F21="",'Fase de Grupos'!H21=""),"",IF(AND(E21='Fase de Grupos'!F21,G21='Fase de Grupos'!H21),5,IF(SIGN(E21-G21)=SIGN('Fase de Grupos'!F21-'Fase de Grupos'!H21),3,0)))</f>
        <v>3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3</v>
      </c>
      <c r="F22" s="2" t="s">
        <v>6</v>
      </c>
      <c r="G22" s="4">
        <v>0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1</v>
      </c>
      <c r="F23" s="2" t="s">
        <v>6</v>
      </c>
      <c r="G23" s="4">
        <v>1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❌ Errou</v>
      </c>
      <c r="J23" s="2">
        <f>IF(OR(E23="",G23="",'Fase de Grupos'!F23="",'Fase de Grupos'!H23=""),"",IF(AND(E23='Fase de Grupos'!F23,G23='Fase de Grupos'!H23),5,IF(SIGN(E23-G23)=SIGN('Fase de Grupos'!F23-'Fase de Grupos'!H23),3,0)))</f>
        <v>0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2</v>
      </c>
      <c r="F24" s="2" t="s">
        <v>6</v>
      </c>
      <c r="G24" s="4">
        <v>0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🟡 Acertou resultado</v>
      </c>
      <c r="J24" s="2">
        <f>IF(OR(E24="",G24="",'Fase de Grupos'!F24="",'Fase de Grupos'!H24=""),"",IF(AND(E24='Fase de Grupos'!F24,G24='Fase de Grupos'!H24),5,IF(SIGN(E24-G24)=SIGN('Fase de Grupos'!F24-'Fase de Grupos'!H24),3,0)))</f>
        <v>3</v>
      </c>
    </row>
    <row r="25" spans="1:10" x14ac:dyDescent="0.35">
      <c r="A25" s="2">
        <v>24</v>
      </c>
      <c r="B25" s="2" t="s">
        <v>89</v>
      </c>
      <c r="C25" s="2" t="s">
        <v>133</v>
      </c>
      <c r="D25" s="3" t="s">
        <v>100</v>
      </c>
      <c r="E25" s="4">
        <v>0</v>
      </c>
      <c r="F25" s="2" t="s">
        <v>6</v>
      </c>
      <c r="G25" s="4">
        <v>2</v>
      </c>
      <c r="H25" s="3" t="s">
        <v>101</v>
      </c>
      <c r="I25" s="2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🟡 Acertou resultado</v>
      </c>
      <c r="J25" s="2">
        <f>IF(OR(E25="",G25="",'Fase de Grupos'!F25="",'Fase de Grupos'!H25=""),"",IF(AND(E25='Fase de Grupos'!F25,G25='Fase de Grupos'!H25),5,IF(SIGN(E25-G25)=SIGN('Fase de Grupos'!F25-'Fase de Grupos'!H25),3,0)))</f>
        <v>3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2</v>
      </c>
      <c r="F26" s="2" t="s">
        <v>6</v>
      </c>
      <c r="G26" s="4">
        <v>2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🟡 Acertou resultado</v>
      </c>
      <c r="J26" s="2">
        <f>IF(OR(E26="",G26="",'Fase de Grupos'!F26="",'Fase de Grupos'!H26=""),"",IF(AND(E26='Fase de Grupos'!F26,G26='Fase de Grupos'!H26),5,IF(SIGN(E26-G26)=SIGN('Fase de Grupos'!F26-'Fase de Grupos'!H26),3,0)))</f>
        <v>3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1</v>
      </c>
      <c r="F27" s="2" t="s">
        <v>6</v>
      </c>
      <c r="G27" s="4">
        <v>0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🟡 Acertou resultado</v>
      </c>
      <c r="J27" s="2">
        <f>IF(OR(E27="",G27="",'Fase de Grupos'!F27="",'Fase de Grupos'!H27=""),"",IF(AND(E27='Fase de Grupos'!F27,G27='Fase de Grupos'!H27),5,IF(SIGN(E27-G27)=SIGN('Fase de Grupos'!F27-'Fase de Grupos'!H27),3,0)))</f>
        <v>3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1</v>
      </c>
      <c r="F28" s="2" t="s">
        <v>6</v>
      </c>
      <c r="G28" s="4">
        <v>0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🟡 Acertou resultado</v>
      </c>
      <c r="J28" s="2">
        <f>IF(OR(E28="",G28="",'Fase de Grupos'!F28="",'Fase de Grupos'!H28=""),"",IF(AND(E28='Fase de Grupos'!F28,G28='Fase de Grupos'!H28),5,IF(SIGN(E28-G28)=SIGN('Fase de Grupos'!F28-'Fase de Grupos'!H28),3,0)))</f>
        <v>3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0</v>
      </c>
      <c r="F29" s="2" t="s">
        <v>6</v>
      </c>
      <c r="G29" s="4">
        <v>1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❌ Errou</v>
      </c>
      <c r="J29" s="2">
        <f>IF(OR(E29="",G29="",'Fase de Grupos'!F29="",'Fase de Grupos'!H29=""),"",IF(AND(E29='Fase de Grupos'!F29,G29='Fase de Grupos'!H29),5,IF(SIGN(E29-G29)=SIGN('Fase de Grupos'!F29-'Fase de Grupos'!H29),3,0)))</f>
        <v>0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2</v>
      </c>
      <c r="F30" s="2" t="s">
        <v>6</v>
      </c>
      <c r="G30" s="4">
        <v>0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✅ Placar exato!</v>
      </c>
      <c r="J30" s="2">
        <f>IF(OR(E30="",G30="",'Fase de Grupos'!F30="",'Fase de Grupos'!H30=""),"",IF(AND(E30='Fase de Grupos'!F30,G30='Fase de Grupos'!H30),5,IF(SIGN(E30-G30)=SIGN('Fase de Grupos'!F30-'Fase de Grupos'!H30),3,0)))</f>
        <v>5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0</v>
      </c>
      <c r="F31" s="2" t="s">
        <v>6</v>
      </c>
      <c r="G31" s="4">
        <v>2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🟡 Acertou resultado</v>
      </c>
      <c r="J31" s="2">
        <f>IF(OR(E31="",G31="",'Fase de Grupos'!F31="",'Fase de Grupos'!H31=""),"",IF(AND(E31='Fase de Grupos'!F31,G31='Fase de Grupos'!H31),5,IF(SIGN(E31-G31)=SIGN('Fase de Grupos'!F31-'Fase de Grupos'!H31),3,0)))</f>
        <v>3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6</v>
      </c>
      <c r="F32" s="2" t="s">
        <v>6</v>
      </c>
      <c r="G32" s="4">
        <v>0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🟡 Acertou resultado</v>
      </c>
      <c r="J32" s="2">
        <f>IF(OR(E32="",G32="",'Fase de Grupos'!F32="",'Fase de Grupos'!H32=""),"",IF(AND(E32='Fase de Grupos'!F32,G32='Fase de Grupos'!H32),5,IF(SIGN(E32-G32)=SIGN('Fase de Grupos'!F32-'Fase de Grupos'!H32),3,0)))</f>
        <v>3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1</v>
      </c>
      <c r="F33" s="2" t="s">
        <v>6</v>
      </c>
      <c r="G33" s="4">
        <v>1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❌ Errou</v>
      </c>
      <c r="J33" s="2">
        <f>IF(OR(E33="",G33="",'Fase de Grupos'!F33="",'Fase de Grupos'!H33=""),"",IF(AND(E33='Fase de Grupos'!F33,G33='Fase de Grupos'!H33),5,IF(SIGN(E33-G33)=SIGN('Fase de Grupos'!F33-'Fase de Grupos'!H33),3,0)))</f>
        <v>0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2</v>
      </c>
      <c r="F34" s="2" t="s">
        <v>6</v>
      </c>
      <c r="G34" s="4">
        <v>0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🟡 Acertou resultado</v>
      </c>
      <c r="J34" s="2">
        <f>IF(OR(E34="",G34="",'Fase de Grupos'!F34="",'Fase de Grupos'!H34=""),"",IF(AND(E34='Fase de Grupos'!F34,G34='Fase de Grupos'!H34),5,IF(SIGN(E34-G34)=SIGN('Fase de Grupos'!F34-'Fase de Grupos'!H34),3,0)))</f>
        <v>3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3</v>
      </c>
      <c r="F35" s="2" t="s">
        <v>6</v>
      </c>
      <c r="G35" s="4">
        <v>0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❌ Errou</v>
      </c>
      <c r="J35" s="2">
        <f>IF(OR(E35="",G35="",'Fase de Grupos'!F35="",'Fase de Grupos'!H35=""),"",IF(AND(E35='Fase de Grupos'!F35,G35='Fase de Grupos'!H35),5,IF(SIGN(E35-G35)=SIGN('Fase de Grupos'!F35-'Fase de Grupos'!H35),3,0)))</f>
        <v>0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2</v>
      </c>
      <c r="F36" s="2" t="s">
        <v>6</v>
      </c>
      <c r="G36" s="4">
        <v>2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❌ Errou</v>
      </c>
      <c r="J36" s="2">
        <f>IF(OR(E36="",G36="",'Fase de Grupos'!F36="",'Fase de Grupos'!H36=""),"",IF(AND(E36='Fase de Grupos'!F36,G36='Fase de Grupos'!H36),5,IF(SIGN(E36-G36)=SIGN('Fase de Grupos'!F36-'Fase de Grupos'!H36),3,0)))</f>
        <v>0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0</v>
      </c>
      <c r="F37" s="2" t="s">
        <v>6</v>
      </c>
      <c r="G37" s="4">
        <v>2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🟡 Acertou resultado</v>
      </c>
      <c r="J37" s="2">
        <f>IF(OR(E37="",G37="",'Fase de Grupos'!F37="",'Fase de Grupos'!H37=""),"",IF(AND(E37='Fase de Grupos'!F37,G37='Fase de Grupos'!H37),5,IF(SIGN(E37-G37)=SIGN('Fase de Grupos'!F37-'Fase de Grupos'!H37),3,0)))</f>
        <v>3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2</v>
      </c>
      <c r="F38" s="2" t="s">
        <v>6</v>
      </c>
      <c r="G38" s="4">
        <v>0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🟡 Acertou resultado</v>
      </c>
      <c r="J38" s="2">
        <f>IF(OR(E38="",G38="",'Fase de Grupos'!F38="",'Fase de Grupos'!H38=""),"",IF(AND(E38='Fase de Grupos'!F38,G38='Fase de Grupos'!H38),5,IF(SIGN(E38-G38)=SIGN('Fase de Grupos'!F38-'Fase de Grupos'!H38),3,0)))</f>
        <v>3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2</v>
      </c>
      <c r="F39" s="2" t="s">
        <v>6</v>
      </c>
      <c r="G39" s="4">
        <v>0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❌ Errou</v>
      </c>
      <c r="J39" s="2">
        <f>IF(OR(E39="",G39="",'Fase de Grupos'!F39="",'Fase de Grupos'!H39=""),"",IF(AND(E39='Fase de Grupos'!F39,G39='Fase de Grupos'!H39),5,IF(SIGN(E39-G39)=SIGN('Fase de Grupos'!F39-'Fase de Grupos'!H39),3,0)))</f>
        <v>0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4</v>
      </c>
      <c r="F40" s="2" t="s">
        <v>6</v>
      </c>
      <c r="G40" s="4">
        <v>0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0</v>
      </c>
      <c r="F41" s="2" t="s">
        <v>6</v>
      </c>
      <c r="G41" s="4">
        <v>2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🟡 Acertou resultado</v>
      </c>
      <c r="J41" s="2">
        <f>IF(OR(E41="",G41="",'Fase de Grupos'!F41="",'Fase de Grupos'!H41=""),"",IF(AND(E41='Fase de Grupos'!F41,G41='Fase de Grupos'!H41),5,IF(SIGN(E41-G41)=SIGN('Fase de Grupos'!F41-'Fase de Grupos'!H41),3,0)))</f>
        <v>3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3</v>
      </c>
      <c r="F42" s="2" t="s">
        <v>6</v>
      </c>
      <c r="G42" s="4">
        <v>0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✅ Placar exato!</v>
      </c>
      <c r="J42" s="2">
        <f>IF(OR(E42="",G42="",'Fase de Grupos'!F42="",'Fase de Grupos'!H42=""),"",IF(AND(E42='Fase de Grupos'!F42,G42='Fase de Grupos'!H42),5,IF(SIGN(E42-G42)=SIGN('Fase de Grupos'!F42-'Fase de Grupos'!H42),3,0)))</f>
        <v>5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2</v>
      </c>
      <c r="F43" s="2" t="s">
        <v>6</v>
      </c>
      <c r="G43" s="4">
        <v>1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🟡 Acertou resultado</v>
      </c>
      <c r="J43" s="2">
        <f>IF(OR(E43="",G43="",'Fase de Grupos'!F43="",'Fase de Grupos'!H43=""),"",IF(AND(E43='Fase de Grupos'!F43,G43='Fase de Grupos'!H43),5,IF(SIGN(E43-G43)=SIGN('Fase de Grupos'!F43-'Fase de Grupos'!H43),3,0)))</f>
        <v>3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2</v>
      </c>
      <c r="F44" s="2" t="s">
        <v>6</v>
      </c>
      <c r="G44" s="4">
        <v>0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✅ Placar exato!</v>
      </c>
      <c r="J44" s="2">
        <f>IF(OR(E44="",G44="",'Fase de Grupos'!F44="",'Fase de Grupos'!H44=""),"",IF(AND(E44='Fase de Grupos'!F44,G44='Fase de Grupos'!H44),5,IF(SIGN(E44-G44)=SIGN('Fase de Grupos'!F44-'Fase de Grupos'!H44),3,0)))</f>
        <v>5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1</v>
      </c>
      <c r="F45" s="2" t="s">
        <v>6</v>
      </c>
      <c r="G45" s="4">
        <v>2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✅ Placar exato!</v>
      </c>
      <c r="J45" s="2">
        <f>IF(OR(E45="",G45="",'Fase de Grupos'!F45="",'Fase de Grupos'!H45=""),"",IF(AND(E45='Fase de Grupos'!F45,G45='Fase de Grupos'!H45),5,IF(SIGN(E45-G45)=SIGN('Fase de Grupos'!F45-'Fase de Grupos'!H45),3,0)))</f>
        <v>5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2</v>
      </c>
      <c r="F46" s="2" t="s">
        <v>6</v>
      </c>
      <c r="G46" s="4">
        <v>1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❌ Errou</v>
      </c>
      <c r="J46" s="2">
        <f>IF(OR(E46="",G46="",'Fase de Grupos'!F46="",'Fase de Grupos'!H46=""),"",IF(AND(E46='Fase de Grupos'!F46,G46='Fase de Grupos'!H46),5,IF(SIGN(E46-G46)=SIGN('Fase de Grupos'!F46-'Fase de Grupos'!H46),3,0)))</f>
        <v>0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0</v>
      </c>
      <c r="F47" s="2" t="s">
        <v>6</v>
      </c>
      <c r="G47" s="4">
        <v>3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🟡 Acertou resultado</v>
      </c>
      <c r="J47" s="2">
        <f>IF(OR(E47="",G47="",'Fase de Grupos'!F47="",'Fase de Grupos'!H47=""),"",IF(AND(E47='Fase de Grupos'!F47,G47='Fase de Grupos'!H47),5,IF(SIGN(E47-G47)=SIGN('Fase de Grupos'!F47-'Fase de Grupos'!H47),3,0)))</f>
        <v>3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1</v>
      </c>
      <c r="F48" s="2" t="s">
        <v>6</v>
      </c>
      <c r="G48" s="4">
        <v>0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2</v>
      </c>
      <c r="F49" s="2" t="s">
        <v>6</v>
      </c>
      <c r="G49" s="4">
        <v>0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🟡 Acertou resultado</v>
      </c>
      <c r="J49" s="2">
        <f>IF(OR(E49="",G49="",'Fase de Grupos'!F49="",'Fase de Grupos'!H49=""),"",IF(AND(E49='Fase de Grupos'!F49,G49='Fase de Grupos'!H49),5,IF(SIGN(E49-G49)=SIGN('Fase de Grupos'!F49-'Fase de Grupos'!H49),3,0)))</f>
        <v>3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0</v>
      </c>
      <c r="F50" s="2" t="s">
        <v>6</v>
      </c>
      <c r="G50" s="4">
        <v>2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🟡 Acertou resultado</v>
      </c>
      <c r="J50" s="2">
        <f>IF(OR(E50="",G50="",'Fase de Grupos'!F50="",'Fase de Grupos'!H50=""),"",IF(AND(E50='Fase de Grupos'!F50,G50='Fase de Grupos'!H50),5,IF(SIGN(E50-G50)=SIGN('Fase de Grupos'!F50-'Fase de Grupos'!H50),3,0)))</f>
        <v>3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3</v>
      </c>
      <c r="F51" s="2" t="s">
        <v>6</v>
      </c>
      <c r="G51" s="4">
        <v>0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🟡 Acertou resultado</v>
      </c>
      <c r="J51" s="2">
        <f>IF(OR(E51="",G51="",'Fase de Grupos'!F51="",'Fase de Grupos'!H51=""),"",IF(AND(E51='Fase de Grupos'!F51,G51='Fase de Grupos'!H51),5,IF(SIGN(E51-G51)=SIGN('Fase de Grupos'!F51-'Fase de Grupos'!H51),3,0)))</f>
        <v>3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2</v>
      </c>
      <c r="F52" s="2" t="s">
        <v>6</v>
      </c>
      <c r="G52" s="4">
        <v>1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✅ Placar exato!</v>
      </c>
      <c r="J52" s="2">
        <f>IF(OR(E52="",G52="",'Fase de Grupos'!F52="",'Fase de Grupos'!H52=""),"",IF(AND(E52='Fase de Grupos'!F52,G52='Fase de Grupos'!H52),5,IF(SIGN(E52-G52)=SIGN('Fase de Grupos'!F52-'Fase de Grupos'!H52),3,0)))</f>
        <v>5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1</v>
      </c>
      <c r="F53" s="2" t="s">
        <v>6</v>
      </c>
      <c r="G53" s="4">
        <v>0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🟡 Acertou resultado</v>
      </c>
      <c r="J53" s="2">
        <f>IF(OR(E53="",G53="",'Fase de Grupos'!F53="",'Fase de Grupos'!H53=""),"",IF(AND(E53='Fase de Grupos'!F53,G53='Fase de Grupos'!H53),5,IF(SIGN(E53-G53)=SIGN('Fase de Grupos'!F53-'Fase de Grupos'!H53),3,0)))</f>
        <v>3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1</v>
      </c>
      <c r="F54" s="2" t="s">
        <v>6</v>
      </c>
      <c r="G54" s="4">
        <v>1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❌ Errou</v>
      </c>
      <c r="J54" s="2">
        <f>IF(OR(E54="",G54="",'Fase de Grupos'!F54="",'Fase de Grupos'!H54=""),"",IF(AND(E54='Fase de Grupos'!F54,G54='Fase de Grupos'!H54),5,IF(SIGN(E54-G54)=SIGN('Fase de Grupos'!F54-'Fase de Grupos'!H54),3,0)))</f>
        <v>0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0</v>
      </c>
      <c r="F55" s="2" t="s">
        <v>6</v>
      </c>
      <c r="G55" s="4">
        <v>2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❌ Errou</v>
      </c>
      <c r="J55" s="2">
        <f>IF(OR(E55="",G55="",'Fase de Grupos'!F55="",'Fase de Grupos'!H55=""),"",IF(AND(E55='Fase de Grupos'!F55,G55='Fase de Grupos'!H55),5,IF(SIGN(E55-G55)=SIGN('Fase de Grupos'!F55-'Fase de Grupos'!H55),3,0)))</f>
        <v>0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0</v>
      </c>
      <c r="F56" s="2" t="s">
        <v>6</v>
      </c>
      <c r="G56" s="4">
        <v>3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🟡 Acertou resultado</v>
      </c>
      <c r="J56" s="2">
        <f>IF(OR(E56="",G56="",'Fase de Grupos'!F56="",'Fase de Grupos'!H56=""),"",IF(AND(E56='Fase de Grupos'!F56,G56='Fase de Grupos'!H56),5,IF(SIGN(E56-G56)=SIGN('Fase de Grupos'!F56-'Fase de Grupos'!H56),3,0)))</f>
        <v>3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0</v>
      </c>
      <c r="F57" s="2" t="s">
        <v>6</v>
      </c>
      <c r="G57" s="4">
        <v>2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1</v>
      </c>
      <c r="F58" s="2" t="s">
        <v>6</v>
      </c>
      <c r="G58" s="4">
        <v>1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✅ Placar exato!</v>
      </c>
      <c r="J58" s="2">
        <f>IF(OR(E58="",G58="",'Fase de Grupos'!F58="",'Fase de Grupos'!H58=""),"",IF(AND(E58='Fase de Grupos'!F58,G58='Fase de Grupos'!H58),5,IF(SIGN(E58-G58)=SIGN('Fase de Grupos'!F58-'Fase de Grupos'!H58),3,0)))</f>
        <v>5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0</v>
      </c>
      <c r="F59" s="2" t="s">
        <v>6</v>
      </c>
      <c r="G59" s="4">
        <v>2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🟡 Acertou resultado</v>
      </c>
      <c r="J59" s="2">
        <f>IF(OR(E59="",G59="",'Fase de Grupos'!F59="",'Fase de Grupos'!H59=""),"",IF(AND(E59='Fase de Grupos'!F59,G59='Fase de Grupos'!H59),5,IF(SIGN(E59-G59)=SIGN('Fase de Grupos'!F59-'Fase de Grupos'!H59),3,0)))</f>
        <v>3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1</v>
      </c>
      <c r="F60" s="2" t="s">
        <v>6</v>
      </c>
      <c r="G60" s="4">
        <v>2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❌ Errou</v>
      </c>
      <c r="J60" s="2">
        <f>IF(OR(E60="",G60="",'Fase de Grupos'!F60="",'Fase de Grupos'!H60=""),"",IF(AND(E60='Fase de Grupos'!F60,G60='Fase de Grupos'!H60),5,IF(SIGN(E60-G60)=SIGN('Fase de Grupos'!F60-'Fase de Grupos'!H60),3,0)))</f>
        <v>0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1</v>
      </c>
      <c r="F61" s="2" t="s">
        <v>6</v>
      </c>
      <c r="G61" s="4">
        <v>1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🟡 Acertou resultado</v>
      </c>
      <c r="J61" s="2">
        <f>IF(OR(E61="",G61="",'Fase de Grupos'!F61="",'Fase de Grupos'!H61=""),"",IF(AND(E61='Fase de Grupos'!F61,G61='Fase de Grupos'!H61),5,IF(SIGN(E61-G61)=SIGN('Fase de Grupos'!F61-'Fase de Grupos'!H61),3,0)))</f>
        <v>3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0</v>
      </c>
      <c r="F62" s="2" t="s">
        <v>6</v>
      </c>
      <c r="G62" s="4">
        <v>1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🟡 Acertou resultado</v>
      </c>
      <c r="J62" s="2">
        <f>IF(OR(E62="",G62="",'Fase de Grupos'!F62="",'Fase de Grupos'!H62=""),"",IF(AND(E62='Fase de Grupos'!F62,G62='Fase de Grupos'!H62),5,IF(SIGN(E62-G62)=SIGN('Fase de Grupos'!F62-'Fase de Grupos'!H62),3,0)))</f>
        <v>3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2</v>
      </c>
      <c r="F63" s="2" t="s">
        <v>6</v>
      </c>
      <c r="G63" s="4">
        <v>0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🟡 Acertou resultado</v>
      </c>
      <c r="J63" s="2">
        <f>IF(OR(E63="",G63="",'Fase de Grupos'!F63="",'Fase de Grupos'!H63=""),"",IF(AND(E63='Fase de Grupos'!F63,G63='Fase de Grupos'!H63),5,IF(SIGN(E63-G63)=SIGN('Fase de Grupos'!F63-'Fase de Grupos'!H63),3,0)))</f>
        <v>3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2</v>
      </c>
      <c r="F64" s="2" t="s">
        <v>6</v>
      </c>
      <c r="G64" s="4">
        <v>0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❌ Errou</v>
      </c>
      <c r="J64" s="2">
        <f>IF(OR(E64="",G64="",'Fase de Grupos'!F64="",'Fase de Grupos'!H64=""),"",IF(AND(E64='Fase de Grupos'!F64,G64='Fase de Grupos'!H64),5,IF(SIGN(E64-G64)=SIGN('Fase de Grupos'!F64-'Fase de Grupos'!H64),3,0)))</f>
        <v>0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0</v>
      </c>
      <c r="F65" s="2" t="s">
        <v>6</v>
      </c>
      <c r="G65" s="4">
        <v>4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🟡 Acertou resultado</v>
      </c>
      <c r="J65" s="2">
        <f>IF(OR(E65="",G65="",'Fase de Grupos'!F65="",'Fase de Grupos'!H65=""),"",IF(AND(E65='Fase de Grupos'!F65,G65='Fase de Grupos'!H65),5,IF(SIGN(E65-G65)=SIGN('Fase de Grupos'!F65-'Fase de Grupos'!H65),3,0)))</f>
        <v>3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1</v>
      </c>
      <c r="F66" s="2" t="s">
        <v>6</v>
      </c>
      <c r="G66" s="4">
        <v>2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❌ Errou</v>
      </c>
      <c r="J66" s="2">
        <f>IF(OR(E66="",G66="",'Fase de Grupos'!F66="",'Fase de Grupos'!H66=""),"",IF(AND(E66='Fase de Grupos'!F66,G66='Fase de Grupos'!H66),5,IF(SIGN(E66-G66)=SIGN('Fase de Grupos'!F66-'Fase de Grupos'!H66),3,0)))</f>
        <v>0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0</v>
      </c>
      <c r="F67" s="2" t="s">
        <v>6</v>
      </c>
      <c r="G67" s="4">
        <v>2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🟡 Acertou resultado</v>
      </c>
      <c r="J67" s="2">
        <f>IF(OR(E67="",G67="",'Fase de Grupos'!F67="",'Fase de Grupos'!H67=""),"",IF(AND(E67='Fase de Grupos'!F67,G67='Fase de Grupos'!H67),5,IF(SIGN(E67-G67)=SIGN('Fase de Grupos'!F67-'Fase de Grupos'!H67),3,0)))</f>
        <v>3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0</v>
      </c>
      <c r="F68" s="2" t="s">
        <v>6</v>
      </c>
      <c r="G68" s="4">
        <v>3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1</v>
      </c>
      <c r="F69" s="2" t="s">
        <v>6</v>
      </c>
      <c r="G69" s="4">
        <v>1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❌ Errou</v>
      </c>
      <c r="J69" s="2">
        <f>IF(OR(E69="",G69="",'Fase de Grupos'!F69="",'Fase de Grupos'!H69=""),"",IF(AND(E69='Fase de Grupos'!F69,G69='Fase de Grupos'!H69),5,IF(SIGN(E69-G69)=SIGN('Fase de Grupos'!F69-'Fase de Grupos'!H69),3,0)))</f>
        <v>0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1</v>
      </c>
      <c r="F70" s="2" t="s">
        <v>6</v>
      </c>
      <c r="G70" s="4">
        <v>1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🟡 Acertou resultado</v>
      </c>
      <c r="J70" s="2">
        <f>IF(OR(E70="",G70="",'Fase de Grupos'!F70="",'Fase de Grupos'!H70=""),"",IF(AND(E70='Fase de Grupos'!F70,G70='Fase de Grupos'!H70),5,IF(SIGN(E70-G70)=SIGN('Fase de Grupos'!F70-'Fase de Grupos'!H70),3,0)))</f>
        <v>3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0</v>
      </c>
      <c r="F71" s="2" t="s">
        <v>6</v>
      </c>
      <c r="G71" s="4">
        <v>4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🟡 Acertou resultado</v>
      </c>
      <c r="J71" s="2">
        <f>IF(OR(E71="",G71="",'Fase de Grupos'!F71="",'Fase de Grupos'!H71=""),"",IF(AND(E71='Fase de Grupos'!F71,G71='Fase de Grupos'!H71),5,IF(SIGN(E71-G71)=SIGN('Fase de Grupos'!F71-'Fase de Grupos'!H71),3,0)))</f>
        <v>3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1</v>
      </c>
      <c r="F72" s="2" t="s">
        <v>6</v>
      </c>
      <c r="G72" s="4">
        <v>1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🟡 Acertou resultado</v>
      </c>
      <c r="J72" s="2">
        <f>IF(OR(E72="",G72="",'Fase de Grupos'!F72="",'Fase de Grupos'!H72=""),"",IF(AND(E72='Fase de Grupos'!F72,G72='Fase de Grupos'!H72),5,IF(SIGN(E72-G72)=SIGN('Fase de Grupos'!F72-'Fase de Grupos'!H72),3,0)))</f>
        <v>3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1</v>
      </c>
      <c r="F73" s="2" t="s">
        <v>6</v>
      </c>
      <c r="G73" s="4">
        <v>0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🟡 Acertou resultado</v>
      </c>
      <c r="J73" s="2">
        <f>IF(OR(E73="",G73="",'Fase de Grupos'!F73="",'Fase de Grupos'!H73=""),"",IF(AND(E73='Fase de Grupos'!F73,G73='Fase de Grupos'!H73),5,IF(SIGN(E73-G73)=SIGN('Fase de Grupos'!F73-'Fase de Grupos'!H73),3,0)))</f>
        <v>3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142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79998168889431442"/>
  </sheetPr>
  <dimension ref="A1:J83"/>
  <sheetViews>
    <sheetView workbookViewId="0">
      <pane ySplit="1" topLeftCell="A26" activePane="bottomLeft" state="frozen"/>
      <selection activeCell="E2" sqref="E2:G13"/>
      <selection pane="bottomLeft" activeCell="E2" sqref="E2:G1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s="23" customFormat="1" x14ac:dyDescent="0.35">
      <c r="A14" s="20">
        <v>13</v>
      </c>
      <c r="B14" s="20" t="s">
        <v>64</v>
      </c>
      <c r="C14" s="20" t="s">
        <v>130</v>
      </c>
      <c r="D14" s="21" t="s">
        <v>67</v>
      </c>
      <c r="E14" s="22">
        <v>5</v>
      </c>
      <c r="F14" s="20" t="s">
        <v>6</v>
      </c>
      <c r="G14" s="22">
        <v>0</v>
      </c>
      <c r="H14" s="21" t="s">
        <v>68</v>
      </c>
      <c r="I14" s="20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❌ Errou</v>
      </c>
      <c r="J14" s="20">
        <f>IF(OR(E14="",G14="",'Fase de Grupos'!F14="",'Fase de Grupos'!H14=""),"",IF(AND(E14='Fase de Grupos'!F14,G14='Fase de Grupos'!H14),5,IF(SIGN(E14-G14)=SIGN('Fase de Grupos'!F14-'Fase de Grupos'!H14),3,0)))</f>
        <v>0</v>
      </c>
    </row>
    <row r="15" spans="1:10" s="23" customFormat="1" x14ac:dyDescent="0.35">
      <c r="A15" s="20">
        <v>14</v>
      </c>
      <c r="B15" s="20" t="s">
        <v>64</v>
      </c>
      <c r="C15" s="20" t="s">
        <v>129</v>
      </c>
      <c r="D15" s="21" t="s">
        <v>71</v>
      </c>
      <c r="E15" s="22">
        <v>2</v>
      </c>
      <c r="F15" s="20" t="s">
        <v>6</v>
      </c>
      <c r="G15" s="22">
        <v>1</v>
      </c>
      <c r="H15" s="21" t="s">
        <v>72</v>
      </c>
      <c r="I15" s="20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❌ Errou</v>
      </c>
      <c r="J15" s="20">
        <f>IF(OR(E15="",G15="",'Fase de Grupos'!F15="",'Fase de Grupos'!H15=""),"",IF(AND(E15='Fase de Grupos'!F15,G15='Fase de Grupos'!H15),5,IF(SIGN(E15-G15)=SIGN('Fase de Grupos'!F15-'Fase de Grupos'!H15),3,0)))</f>
        <v>0</v>
      </c>
    </row>
    <row r="16" spans="1:10" s="23" customFormat="1" x14ac:dyDescent="0.35">
      <c r="A16" s="20">
        <v>15</v>
      </c>
      <c r="B16" s="20" t="s">
        <v>64</v>
      </c>
      <c r="C16" s="20" t="s">
        <v>130</v>
      </c>
      <c r="D16" s="21" t="s">
        <v>74</v>
      </c>
      <c r="E16" s="22">
        <v>1</v>
      </c>
      <c r="F16" s="20" t="s">
        <v>6</v>
      </c>
      <c r="G16" s="22">
        <v>3</v>
      </c>
      <c r="H16" s="21" t="s">
        <v>75</v>
      </c>
      <c r="I16" s="20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❌ Errou</v>
      </c>
      <c r="J16" s="20">
        <f>IF(OR(E16="",G16="",'Fase de Grupos'!F16="",'Fase de Grupos'!H16=""),"",IF(AND(E16='Fase de Grupos'!F16,G16='Fase de Grupos'!H16),5,IF(SIGN(E16-G16)=SIGN('Fase de Grupos'!F16-'Fase de Grupos'!H16),3,0)))</f>
        <v>0</v>
      </c>
    </row>
    <row r="17" spans="1:10" s="23" customFormat="1" x14ac:dyDescent="0.35">
      <c r="A17" s="20">
        <v>16</v>
      </c>
      <c r="B17" s="20" t="s">
        <v>64</v>
      </c>
      <c r="C17" s="20" t="s">
        <v>129</v>
      </c>
      <c r="D17" s="21" t="s">
        <v>77</v>
      </c>
      <c r="E17" s="22">
        <v>1</v>
      </c>
      <c r="F17" s="20" t="s">
        <v>6</v>
      </c>
      <c r="G17" s="22">
        <v>0</v>
      </c>
      <c r="H17" s="21" t="s">
        <v>78</v>
      </c>
      <c r="I17" s="20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❌ Errou</v>
      </c>
      <c r="J17" s="20">
        <f>IF(OR(E17="",G17="",'Fase de Grupos'!F17="",'Fase de Grupos'!H17=""),"",IF(AND(E17='Fase de Grupos'!F17,G17='Fase de Grupos'!H17),5,IF(SIGN(E17-G17)=SIGN('Fase de Grupos'!F17-'Fase de Grupos'!H17),3,0)))</f>
        <v>0</v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4</v>
      </c>
      <c r="F18" s="2" t="s">
        <v>6</v>
      </c>
      <c r="G18" s="4">
        <v>0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🟡 Acertou resultado</v>
      </c>
      <c r="J18" s="2">
        <f>IF(OR(E18="",G18="",'Fase de Grupos'!F18="",'Fase de Grupos'!H18=""),"",IF(AND(E18='Fase de Grupos'!F18,G18='Fase de Grupos'!H18),5,IF(SIGN(E18-G18)=SIGN('Fase de Grupos'!F18-'Fase de Grupos'!H18),3,0)))</f>
        <v>3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1</v>
      </c>
      <c r="F19" s="2" t="s">
        <v>6</v>
      </c>
      <c r="G19" s="4">
        <v>3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🟡 Acertou resultado</v>
      </c>
      <c r="J19" s="2">
        <f>IF(OR(E19="",G19="",'Fase de Grupos'!F19="",'Fase de Grupos'!H19=""),"",IF(AND(E19='Fase de Grupos'!F19,G19='Fase de Grupos'!H19),5,IF(SIGN(E19-G19)=SIGN('Fase de Grupos'!F19-'Fase de Grupos'!H19),3,0)))</f>
        <v>3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4</v>
      </c>
      <c r="F20" s="2" t="s">
        <v>6</v>
      </c>
      <c r="G20" s="4">
        <v>1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🟡 Acertou resultado</v>
      </c>
      <c r="J20" s="2">
        <f>IF(OR(E20="",G20="",'Fase de Grupos'!F20="",'Fase de Grupos'!H20=""),"",IF(AND(E20='Fase de Grupos'!F20,G20='Fase de Grupos'!H20),5,IF(SIGN(E20-G20)=SIGN('Fase de Grupos'!F20-'Fase de Grupos'!H20),3,0)))</f>
        <v>3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2</v>
      </c>
      <c r="F21" s="2" t="s">
        <v>6</v>
      </c>
      <c r="G21" s="4">
        <v>1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🟡 Acertou resultado</v>
      </c>
      <c r="J21" s="2">
        <f>IF(OR(E21="",G21="",'Fase de Grupos'!F21="",'Fase de Grupos'!H21=""),"",IF(AND(E21='Fase de Grupos'!F21,G21='Fase de Grupos'!H21),5,IF(SIGN(E21-G21)=SIGN('Fase de Grupos'!F21-'Fase de Grupos'!H21),3,0)))</f>
        <v>3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4</v>
      </c>
      <c r="F22" s="2" t="s">
        <v>6</v>
      </c>
      <c r="G22" s="4">
        <v>0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4</v>
      </c>
      <c r="F23" s="2" t="s">
        <v>6</v>
      </c>
      <c r="G23" s="4">
        <v>1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🟡 Acertou resultado</v>
      </c>
      <c r="J23" s="2">
        <f>IF(OR(E23="",G23="",'Fase de Grupos'!F23="",'Fase de Grupos'!H23=""),"",IF(AND(E23='Fase de Grupos'!F23,G23='Fase de Grupos'!H23),5,IF(SIGN(E23-G23)=SIGN('Fase de Grupos'!F23-'Fase de Grupos'!H23),3,0)))</f>
        <v>3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1</v>
      </c>
      <c r="F24" s="2" t="s">
        <v>6</v>
      </c>
      <c r="G24" s="4">
        <v>0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✅ Placar exato!</v>
      </c>
      <c r="J24" s="2">
        <f>IF(OR(E24="",G24="",'Fase de Grupos'!F24="",'Fase de Grupos'!H24=""),"",IF(AND(E24='Fase de Grupos'!F24,G24='Fase de Grupos'!H24),5,IF(SIGN(E24-G24)=SIGN('Fase de Grupos'!F24-'Fase de Grupos'!H24),3,0)))</f>
        <v>5</v>
      </c>
    </row>
    <row r="25" spans="1:10" s="27" customFormat="1" x14ac:dyDescent="0.35">
      <c r="A25" s="24">
        <v>24</v>
      </c>
      <c r="B25" s="24" t="s">
        <v>89</v>
      </c>
      <c r="C25" s="24" t="s">
        <v>133</v>
      </c>
      <c r="D25" s="25" t="s">
        <v>100</v>
      </c>
      <c r="E25" s="26">
        <v>1</v>
      </c>
      <c r="F25" s="24" t="s">
        <v>6</v>
      </c>
      <c r="G25" s="26">
        <v>2</v>
      </c>
      <c r="H25" s="25" t="s">
        <v>101</v>
      </c>
      <c r="I25" s="24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🟡 Acertou resultado</v>
      </c>
      <c r="J25" s="24">
        <f>IF(OR(E25="",G25="",'Fase de Grupos'!F25="",'Fase de Grupos'!H25=""),"",IF(AND(E25='Fase de Grupos'!F25,G25='Fase de Grupos'!H25),5,IF(SIGN(E25-G25)=SIGN('Fase de Grupos'!F25-'Fase de Grupos'!H25),3,0)))</f>
        <v>3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1</v>
      </c>
      <c r="F26" s="2" t="s">
        <v>6</v>
      </c>
      <c r="G26" s="4">
        <v>1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✅ Placar exato!</v>
      </c>
      <c r="J26" s="2">
        <f>IF(OR(E26="",G26="",'Fase de Grupos'!F26="",'Fase de Grupos'!H26=""),"",IF(AND(E26='Fase de Grupos'!F26,G26='Fase de Grupos'!H26),5,IF(SIGN(E26-G26)=SIGN('Fase de Grupos'!F26-'Fase de Grupos'!H26),3,0)))</f>
        <v>5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1</v>
      </c>
      <c r="F27" s="2" t="s">
        <v>6</v>
      </c>
      <c r="G27" s="4">
        <v>2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❌ Errou</v>
      </c>
      <c r="J27" s="2">
        <f>IF(OR(E27="",G27="",'Fase de Grupos'!F27="",'Fase de Grupos'!H27=""),"",IF(AND(E27='Fase de Grupos'!F27,G27='Fase de Grupos'!H27),5,IF(SIGN(E27-G27)=SIGN('Fase de Grupos'!F27-'Fase de Grupos'!H27),3,0)))</f>
        <v>0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0</v>
      </c>
      <c r="F28" s="2" t="s">
        <v>6</v>
      </c>
      <c r="G28" s="4">
        <v>2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❌ Errou</v>
      </c>
      <c r="J28" s="2">
        <f>IF(OR(E28="",G28="",'Fase de Grupos'!F28="",'Fase de Grupos'!H28=""),"",IF(AND(E28='Fase de Grupos'!F28,G28='Fase de Grupos'!H28),5,IF(SIGN(E28-G28)=SIGN('Fase de Grupos'!F28-'Fase de Grupos'!H28),3,0)))</f>
        <v>0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3</v>
      </c>
      <c r="F29" s="2" t="s">
        <v>6</v>
      </c>
      <c r="G29" s="4">
        <v>1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🟡 Acertou resultado</v>
      </c>
      <c r="J29" s="2">
        <f>IF(OR(E29="",G29="",'Fase de Grupos'!F29="",'Fase de Grupos'!H29=""),"",IF(AND(E29='Fase de Grupos'!F29,G29='Fase de Grupos'!H29),5,IF(SIGN(E29-G29)=SIGN('Fase de Grupos'!F29-'Fase de Grupos'!H29),3,0)))</f>
        <v>3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4</v>
      </c>
      <c r="F30" s="2" t="s">
        <v>6</v>
      </c>
      <c r="G30" s="4">
        <v>1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🟡 Acertou resultado</v>
      </c>
      <c r="J30" s="2">
        <f>IF(OR(E30="",G30="",'Fase de Grupos'!F30="",'Fase de Grupos'!H30=""),"",IF(AND(E30='Fase de Grupos'!F30,G30='Fase de Grupos'!H30),5,IF(SIGN(E30-G30)=SIGN('Fase de Grupos'!F30-'Fase de Grupos'!H30),3,0)))</f>
        <v>3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0</v>
      </c>
      <c r="F31" s="2" t="s">
        <v>6</v>
      </c>
      <c r="G31" s="4">
        <v>3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🟡 Acertou resultado</v>
      </c>
      <c r="J31" s="2">
        <f>IF(OR(E31="",G31="",'Fase de Grupos'!F31="",'Fase de Grupos'!H31=""),"",IF(AND(E31='Fase de Grupos'!F31,G31='Fase de Grupos'!H31),5,IF(SIGN(E31-G31)=SIGN('Fase de Grupos'!F31-'Fase de Grupos'!H31),3,0)))</f>
        <v>3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2</v>
      </c>
      <c r="F32" s="2" t="s">
        <v>6</v>
      </c>
      <c r="G32" s="4">
        <v>1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🟡 Acertou resultado</v>
      </c>
      <c r="J32" s="2">
        <f>IF(OR(E32="",G32="",'Fase de Grupos'!F32="",'Fase de Grupos'!H32=""),"",IF(AND(E32='Fase de Grupos'!F32,G32='Fase de Grupos'!H32),5,IF(SIGN(E32-G32)=SIGN('Fase de Grupos'!F32-'Fase de Grupos'!H32),3,0)))</f>
        <v>3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1</v>
      </c>
      <c r="F33" s="2" t="s">
        <v>6</v>
      </c>
      <c r="G33" s="4">
        <v>1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❌ Errou</v>
      </c>
      <c r="J33" s="2">
        <f>IF(OR(E33="",G33="",'Fase de Grupos'!F33="",'Fase de Grupos'!H33=""),"",IF(AND(E33='Fase de Grupos'!F33,G33='Fase de Grupos'!H33),5,IF(SIGN(E33-G33)=SIGN('Fase de Grupos'!F33-'Fase de Grupos'!H33),3,0)))</f>
        <v>0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4</v>
      </c>
      <c r="F34" s="2" t="s">
        <v>6</v>
      </c>
      <c r="G34" s="4">
        <v>0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🟡 Acertou resultado</v>
      </c>
      <c r="J34" s="2">
        <f>IF(OR(E34="",G34="",'Fase de Grupos'!F34="",'Fase de Grupos'!H34=""),"",IF(AND(E34='Fase de Grupos'!F34,G34='Fase de Grupos'!H34),5,IF(SIGN(E34-G34)=SIGN('Fase de Grupos'!F34-'Fase de Grupos'!H34),3,0)))</f>
        <v>3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1</v>
      </c>
      <c r="F35" s="2" t="s">
        <v>6</v>
      </c>
      <c r="G35" s="4">
        <v>2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❌ Errou</v>
      </c>
      <c r="J35" s="2">
        <f>IF(OR(E35="",G35="",'Fase de Grupos'!F35="",'Fase de Grupos'!H35=""),"",IF(AND(E35='Fase de Grupos'!F35,G35='Fase de Grupos'!H35),5,IF(SIGN(E35-G35)=SIGN('Fase de Grupos'!F35-'Fase de Grupos'!H35),3,0)))</f>
        <v>0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3</v>
      </c>
      <c r="F36" s="2" t="s">
        <v>6</v>
      </c>
      <c r="G36" s="4">
        <v>1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🟡 Acertou resultado</v>
      </c>
      <c r="J36" s="2">
        <f>IF(OR(E36="",G36="",'Fase de Grupos'!F36="",'Fase de Grupos'!H36=""),"",IF(AND(E36='Fase de Grupos'!F36,G36='Fase de Grupos'!H36),5,IF(SIGN(E36-G36)=SIGN('Fase de Grupos'!F36-'Fase de Grupos'!H36),3,0)))</f>
        <v>3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0</v>
      </c>
      <c r="F37" s="2" t="s">
        <v>6</v>
      </c>
      <c r="G37" s="4">
        <v>4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✅ Placar exato!</v>
      </c>
      <c r="J37" s="2">
        <f>IF(OR(E37="",G37="",'Fase de Grupos'!F37="",'Fase de Grupos'!H37=""),"",IF(AND(E37='Fase de Grupos'!F37,G37='Fase de Grupos'!H37),5,IF(SIGN(E37-G37)=SIGN('Fase de Grupos'!F37-'Fase de Grupos'!H37),3,0)))</f>
        <v>5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3</v>
      </c>
      <c r="F38" s="2" t="s">
        <v>6</v>
      </c>
      <c r="G38" s="4">
        <v>1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🟡 Acertou resultado</v>
      </c>
      <c r="J38" s="2">
        <f>IF(OR(E38="",G38="",'Fase de Grupos'!F38="",'Fase de Grupos'!H38=""),"",IF(AND(E38='Fase de Grupos'!F38,G38='Fase de Grupos'!H38),5,IF(SIGN(E38-G38)=SIGN('Fase de Grupos'!F38-'Fase de Grupos'!H38),3,0)))</f>
        <v>3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2</v>
      </c>
      <c r="F39" s="2" t="s">
        <v>6</v>
      </c>
      <c r="G39" s="4">
        <v>0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❌ Errou</v>
      </c>
      <c r="J39" s="2">
        <f>IF(OR(E39="",G39="",'Fase de Grupos'!F39="",'Fase de Grupos'!H39=""),"",IF(AND(E39='Fase de Grupos'!F39,G39='Fase de Grupos'!H39),5,IF(SIGN(E39-G39)=SIGN('Fase de Grupos'!F39-'Fase de Grupos'!H39),3,0)))</f>
        <v>0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3</v>
      </c>
      <c r="F40" s="2" t="s">
        <v>6</v>
      </c>
      <c r="G40" s="4">
        <v>0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1</v>
      </c>
      <c r="F41" s="2" t="s">
        <v>6</v>
      </c>
      <c r="G41" s="4">
        <v>1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❌ Errou</v>
      </c>
      <c r="J41" s="2">
        <f>IF(OR(E41="",G41="",'Fase de Grupos'!F41="",'Fase de Grupos'!H41=""),"",IF(AND(E41='Fase de Grupos'!F41,G41='Fase de Grupos'!H41),5,IF(SIGN(E41-G41)=SIGN('Fase de Grupos'!F41-'Fase de Grupos'!H41),3,0)))</f>
        <v>0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3</v>
      </c>
      <c r="F42" s="2" t="s">
        <v>6</v>
      </c>
      <c r="G42" s="4">
        <v>1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🟡 Acertou resultado</v>
      </c>
      <c r="J42" s="2">
        <f>IF(OR(E42="",G42="",'Fase de Grupos'!F42="",'Fase de Grupos'!H42=""),"",IF(AND(E42='Fase de Grupos'!F42,G42='Fase de Grupos'!H42),5,IF(SIGN(E42-G42)=SIGN('Fase de Grupos'!F42-'Fase de Grupos'!H42),3,0)))</f>
        <v>3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2</v>
      </c>
      <c r="F43" s="2" t="s">
        <v>6</v>
      </c>
      <c r="G43" s="4">
        <v>2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❌ Errou</v>
      </c>
      <c r="J43" s="2">
        <f>IF(OR(E43="",G43="",'Fase de Grupos'!F43="",'Fase de Grupos'!H43=""),"",IF(AND(E43='Fase de Grupos'!F43,G43='Fase de Grupos'!H43),5,IF(SIGN(E43-G43)=SIGN('Fase de Grupos'!F43-'Fase de Grupos'!H43),3,0)))</f>
        <v>0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3</v>
      </c>
      <c r="F44" s="2" t="s">
        <v>6</v>
      </c>
      <c r="G44" s="4">
        <v>0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🟡 Acertou resultado</v>
      </c>
      <c r="J44" s="2">
        <f>IF(OR(E44="",G44="",'Fase de Grupos'!F44="",'Fase de Grupos'!H44=""),"",IF(AND(E44='Fase de Grupos'!F44,G44='Fase de Grupos'!H44),5,IF(SIGN(E44-G44)=SIGN('Fase de Grupos'!F44-'Fase de Grupos'!H44),3,0)))</f>
        <v>3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0</v>
      </c>
      <c r="F45" s="2" t="s">
        <v>6</v>
      </c>
      <c r="G45" s="4">
        <v>2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🟡 Acertou resultado</v>
      </c>
      <c r="J45" s="2">
        <f>IF(OR(E45="",G45="",'Fase de Grupos'!F45="",'Fase de Grupos'!H45=""),"",IF(AND(E45='Fase de Grupos'!F45,G45='Fase de Grupos'!H45),5,IF(SIGN(E45-G45)=SIGN('Fase de Grupos'!F45-'Fase de Grupos'!H45),3,0)))</f>
        <v>3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3</v>
      </c>
      <c r="F46" s="2" t="s">
        <v>6</v>
      </c>
      <c r="G46" s="4">
        <v>1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❌ Errou</v>
      </c>
      <c r="J46" s="2">
        <f>IF(OR(E46="",G46="",'Fase de Grupos'!F46="",'Fase de Grupos'!H46=""),"",IF(AND(E46='Fase de Grupos'!F46,G46='Fase de Grupos'!H46),5,IF(SIGN(E46-G46)=SIGN('Fase de Grupos'!F46-'Fase de Grupos'!H46),3,0)))</f>
        <v>0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0</v>
      </c>
      <c r="F47" s="2" t="s">
        <v>6</v>
      </c>
      <c r="G47" s="4">
        <v>2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🟡 Acertou resultado</v>
      </c>
      <c r="J47" s="2">
        <f>IF(OR(E47="",G47="",'Fase de Grupos'!F47="",'Fase de Grupos'!H47=""),"",IF(AND(E47='Fase de Grupos'!F47,G47='Fase de Grupos'!H47),5,IF(SIGN(E47-G47)=SIGN('Fase de Grupos'!F47-'Fase de Grupos'!H47),3,0)))</f>
        <v>3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4</v>
      </c>
      <c r="F48" s="2" t="s">
        <v>6</v>
      </c>
      <c r="G48" s="4">
        <v>0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2</v>
      </c>
      <c r="F49" s="2" t="s">
        <v>6</v>
      </c>
      <c r="G49" s="4">
        <v>0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🟡 Acertou resultado</v>
      </c>
      <c r="J49" s="2">
        <f>IF(OR(E49="",G49="",'Fase de Grupos'!F49="",'Fase de Grupos'!H49=""),"",IF(AND(E49='Fase de Grupos'!F49,G49='Fase de Grupos'!H49),5,IF(SIGN(E49-G49)=SIGN('Fase de Grupos'!F49-'Fase de Grupos'!H49),3,0)))</f>
        <v>3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0</v>
      </c>
      <c r="F50" s="2" t="s">
        <v>6</v>
      </c>
      <c r="G50" s="4">
        <v>3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✅ Placar exato!</v>
      </c>
      <c r="J50" s="2">
        <f>IF(OR(E50="",G50="",'Fase de Grupos'!F50="",'Fase de Grupos'!H50=""),"",IF(AND(E50='Fase de Grupos'!F50,G50='Fase de Grupos'!H50),5,IF(SIGN(E50-G50)=SIGN('Fase de Grupos'!F50-'Fase de Grupos'!H50),3,0)))</f>
        <v>5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1</v>
      </c>
      <c r="F51" s="2" t="s">
        <v>6</v>
      </c>
      <c r="G51" s="4">
        <v>1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❌ Errou</v>
      </c>
      <c r="J51" s="2">
        <f>IF(OR(E51="",G51="",'Fase de Grupos'!F51="",'Fase de Grupos'!H51=""),"",IF(AND(E51='Fase de Grupos'!F51,G51='Fase de Grupos'!H51),5,IF(SIGN(E51-G51)=SIGN('Fase de Grupos'!F51-'Fase de Grupos'!H51),3,0)))</f>
        <v>0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1</v>
      </c>
      <c r="F52" s="2" t="s">
        <v>6</v>
      </c>
      <c r="G52" s="4">
        <v>1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❌ Errou</v>
      </c>
      <c r="J52" s="2">
        <f>IF(OR(E52="",G52="",'Fase de Grupos'!F52="",'Fase de Grupos'!H52=""),"",IF(AND(E52='Fase de Grupos'!F52,G52='Fase de Grupos'!H52),5,IF(SIGN(E52-G52)=SIGN('Fase de Grupos'!F52-'Fase de Grupos'!H52),3,0)))</f>
        <v>0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0</v>
      </c>
      <c r="F53" s="2" t="s">
        <v>6</v>
      </c>
      <c r="G53" s="4">
        <v>1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❌ Errou</v>
      </c>
      <c r="J53" s="2">
        <f>IF(OR(E53="",G53="",'Fase de Grupos'!F53="",'Fase de Grupos'!H53=""),"",IF(AND(E53='Fase de Grupos'!F53,G53='Fase de Grupos'!H53),5,IF(SIGN(E53-G53)=SIGN('Fase de Grupos'!F53-'Fase de Grupos'!H53),3,0)))</f>
        <v>0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0</v>
      </c>
      <c r="F54" s="2" t="s">
        <v>6</v>
      </c>
      <c r="G54" s="4">
        <v>2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🟡 Acertou resultado</v>
      </c>
      <c r="J54" s="2">
        <f>IF(OR(E54="",G54="",'Fase de Grupos'!F54="",'Fase de Grupos'!H54=""),"",IF(AND(E54='Fase de Grupos'!F54,G54='Fase de Grupos'!H54),5,IF(SIGN(E54-G54)=SIGN('Fase de Grupos'!F54-'Fase de Grupos'!H54),3,0)))</f>
        <v>3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1</v>
      </c>
      <c r="F55" s="2" t="s">
        <v>6</v>
      </c>
      <c r="G55" s="4">
        <v>1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❌ Errou</v>
      </c>
      <c r="J55" s="2">
        <f>IF(OR(E55="",G55="",'Fase de Grupos'!F55="",'Fase de Grupos'!H55=""),"",IF(AND(E55='Fase de Grupos'!F55,G55='Fase de Grupos'!H55),5,IF(SIGN(E55-G55)=SIGN('Fase de Grupos'!F55-'Fase de Grupos'!H55),3,0)))</f>
        <v>0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0</v>
      </c>
      <c r="F56" s="2" t="s">
        <v>6</v>
      </c>
      <c r="G56" s="4">
        <v>2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✅ Placar exato!</v>
      </c>
      <c r="J56" s="2">
        <f>IF(OR(E56="",G56="",'Fase de Grupos'!F56="",'Fase de Grupos'!H56=""),"",IF(AND(E56='Fase de Grupos'!F56,G56='Fase de Grupos'!H56),5,IF(SIGN(E56-G56)=SIGN('Fase de Grupos'!F56-'Fase de Grupos'!H56),3,0)))</f>
        <v>5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0</v>
      </c>
      <c r="F57" s="2" t="s">
        <v>6</v>
      </c>
      <c r="G57" s="4">
        <v>3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5</v>
      </c>
      <c r="F58" s="2" t="s">
        <v>6</v>
      </c>
      <c r="G58" s="4">
        <v>1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❌ Errou</v>
      </c>
      <c r="J58" s="2">
        <f>IF(OR(E58="",G58="",'Fase de Grupos'!F58="",'Fase de Grupos'!H58=""),"",IF(AND(E58='Fase de Grupos'!F58,G58='Fase de Grupos'!H58),5,IF(SIGN(E58-G58)=SIGN('Fase de Grupos'!F58-'Fase de Grupos'!H58),3,0)))</f>
        <v>0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0</v>
      </c>
      <c r="F59" s="2" t="s">
        <v>6</v>
      </c>
      <c r="G59" s="4">
        <v>4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🟡 Acertou resultado</v>
      </c>
      <c r="J59" s="2">
        <f>IF(OR(E59="",G59="",'Fase de Grupos'!F59="",'Fase de Grupos'!H59=""),"",IF(AND(E59='Fase de Grupos'!F59,G59='Fase de Grupos'!H59),5,IF(SIGN(E59-G59)=SIGN('Fase de Grupos'!F59-'Fase de Grupos'!H59),3,0)))</f>
        <v>3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1</v>
      </c>
      <c r="F60" s="2" t="s">
        <v>6</v>
      </c>
      <c r="G60" s="4">
        <v>5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❌ Errou</v>
      </c>
      <c r="J60" s="2">
        <f>IF(OR(E60="",G60="",'Fase de Grupos'!F60="",'Fase de Grupos'!H60=""),"",IF(AND(E60='Fase de Grupos'!F60,G60='Fase de Grupos'!H60),5,IF(SIGN(E60-G60)=SIGN('Fase de Grupos'!F60-'Fase de Grupos'!H60),3,0)))</f>
        <v>0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1</v>
      </c>
      <c r="F61" s="2" t="s">
        <v>6</v>
      </c>
      <c r="G61" s="4">
        <v>1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🟡 Acertou resultado</v>
      </c>
      <c r="J61" s="2">
        <f>IF(OR(E61="",G61="",'Fase de Grupos'!F61="",'Fase de Grupos'!H61=""),"",IF(AND(E61='Fase de Grupos'!F61,G61='Fase de Grupos'!H61),5,IF(SIGN(E61-G61)=SIGN('Fase de Grupos'!F61-'Fase de Grupos'!H61),3,0)))</f>
        <v>3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0</v>
      </c>
      <c r="F62" s="2" t="s">
        <v>6</v>
      </c>
      <c r="G62" s="4">
        <v>2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🟡 Acertou resultado</v>
      </c>
      <c r="J62" s="2">
        <f>IF(OR(E62="",G62="",'Fase de Grupos'!F62="",'Fase de Grupos'!H62=""),"",IF(AND(E62='Fase de Grupos'!F62,G62='Fase de Grupos'!H62),5,IF(SIGN(E62-G62)=SIGN('Fase de Grupos'!F62-'Fase de Grupos'!H62),3,0)))</f>
        <v>3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2</v>
      </c>
      <c r="F63" s="2" t="s">
        <v>6</v>
      </c>
      <c r="G63" s="4">
        <v>2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❌ Errou</v>
      </c>
      <c r="J63" s="2">
        <f>IF(OR(E63="",G63="",'Fase de Grupos'!F63="",'Fase de Grupos'!H63=""),"",IF(AND(E63='Fase de Grupos'!F63,G63='Fase de Grupos'!H63),5,IF(SIGN(E63-G63)=SIGN('Fase de Grupos'!F63-'Fase de Grupos'!H63),3,0)))</f>
        <v>0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2</v>
      </c>
      <c r="F64" s="2" t="s">
        <v>6</v>
      </c>
      <c r="G64" s="4">
        <v>2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🟡 Acertou resultado</v>
      </c>
      <c r="J64" s="2">
        <f>IF(OR(E64="",G64="",'Fase de Grupos'!F64="",'Fase de Grupos'!H64=""),"",IF(AND(E64='Fase de Grupos'!F64,G64='Fase de Grupos'!H64),5,IF(SIGN(E64-G64)=SIGN('Fase de Grupos'!F64-'Fase de Grupos'!H64),3,0)))</f>
        <v>3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1</v>
      </c>
      <c r="F65" s="2" t="s">
        <v>6</v>
      </c>
      <c r="G65" s="4">
        <v>2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🟡 Acertou resultado</v>
      </c>
      <c r="J65" s="2">
        <f>IF(OR(E65="",G65="",'Fase de Grupos'!F65="",'Fase de Grupos'!H65=""),"",IF(AND(E65='Fase de Grupos'!F65,G65='Fase de Grupos'!H65),5,IF(SIGN(E65-G65)=SIGN('Fase de Grupos'!F65-'Fase de Grupos'!H65),3,0)))</f>
        <v>3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0</v>
      </c>
      <c r="F66" s="2" t="s">
        <v>6</v>
      </c>
      <c r="G66" s="4">
        <v>1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❌ Errou</v>
      </c>
      <c r="J66" s="2">
        <f>IF(OR(E66="",G66="",'Fase de Grupos'!F66="",'Fase de Grupos'!H66=""),"",IF(AND(E66='Fase de Grupos'!F66,G66='Fase de Grupos'!H66),5,IF(SIGN(E66-G66)=SIGN('Fase de Grupos'!F66-'Fase de Grupos'!H66),3,0)))</f>
        <v>0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1</v>
      </c>
      <c r="F67" s="2" t="s">
        <v>6</v>
      </c>
      <c r="G67" s="4">
        <v>3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🟡 Acertou resultado</v>
      </c>
      <c r="J67" s="2">
        <f>IF(OR(E67="",G67="",'Fase de Grupos'!F67="",'Fase de Grupos'!H67=""),"",IF(AND(E67='Fase de Grupos'!F67,G67='Fase de Grupos'!H67),5,IF(SIGN(E67-G67)=SIGN('Fase de Grupos'!F67-'Fase de Grupos'!H67),3,0)))</f>
        <v>3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1</v>
      </c>
      <c r="F68" s="2" t="s">
        <v>6</v>
      </c>
      <c r="G68" s="4">
        <v>4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1</v>
      </c>
      <c r="F69" s="2" t="s">
        <v>6</v>
      </c>
      <c r="G69" s="4">
        <v>2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❌ Errou</v>
      </c>
      <c r="J69" s="2">
        <f>IF(OR(E69="",G69="",'Fase de Grupos'!F69="",'Fase de Grupos'!H69=""),"",IF(AND(E69='Fase de Grupos'!F69,G69='Fase de Grupos'!H69),5,IF(SIGN(E69-G69)=SIGN('Fase de Grupos'!F69-'Fase de Grupos'!H69),3,0)))</f>
        <v>0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0</v>
      </c>
      <c r="F70" s="2" t="s">
        <v>6</v>
      </c>
      <c r="G70" s="4">
        <v>0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🟡 Acertou resultado</v>
      </c>
      <c r="J70" s="2">
        <f>IF(OR(E70="",G70="",'Fase de Grupos'!F70="",'Fase de Grupos'!H70=""),"",IF(AND(E70='Fase de Grupos'!F70,G70='Fase de Grupos'!H70),5,IF(SIGN(E70-G70)=SIGN('Fase de Grupos'!F70-'Fase de Grupos'!H70),3,0)))</f>
        <v>3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1</v>
      </c>
      <c r="F71" s="2" t="s">
        <v>6</v>
      </c>
      <c r="G71" s="4">
        <v>3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✅ Placar exato!</v>
      </c>
      <c r="J71" s="2">
        <f>IF(OR(E71="",G71="",'Fase de Grupos'!F71="",'Fase de Grupos'!H71=""),"",IF(AND(E71='Fase de Grupos'!F71,G71='Fase de Grupos'!H71),5,IF(SIGN(E71-G71)=SIGN('Fase de Grupos'!F71-'Fase de Grupos'!H71),3,0)))</f>
        <v>5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2</v>
      </c>
      <c r="F72" s="2" t="s">
        <v>6</v>
      </c>
      <c r="G72" s="4">
        <v>5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❌ Errou</v>
      </c>
      <c r="J72" s="2">
        <f>IF(OR(E72="",G72="",'Fase de Grupos'!F72="",'Fase de Grupos'!H72=""),"",IF(AND(E72='Fase de Grupos'!F72,G72='Fase de Grupos'!H72),5,IF(SIGN(E72-G72)=SIGN('Fase de Grupos'!F72-'Fase de Grupos'!H72),3,0)))</f>
        <v>0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1</v>
      </c>
      <c r="F73" s="2" t="s">
        <v>6</v>
      </c>
      <c r="G73" s="4">
        <v>1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❌ Errou</v>
      </c>
      <c r="J73" s="2">
        <f>IF(OR(E73="",G73="",'Fase de Grupos'!F73="",'Fase de Grupos'!H73=""),"",IF(AND(E73='Fase de Grupos'!F73,G73='Fase de Grupos'!H73),5,IF(SIGN(E73-G73)=SIGN('Fase de Grupos'!F73-'Fase de Grupos'!H73),3,0)))</f>
        <v>0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114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6" tint="0.79998168889431442"/>
  </sheetPr>
  <dimension ref="A1:J83"/>
  <sheetViews>
    <sheetView workbookViewId="0">
      <pane ySplit="1" topLeftCell="A2" activePane="bottomLeft" state="frozen"/>
      <selection activeCell="G8" sqref="G8:I8"/>
      <selection pane="bottomLeft" activeCell="E2" sqref="E2:G1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s="23" customFormat="1" x14ac:dyDescent="0.35">
      <c r="A14" s="20">
        <v>13</v>
      </c>
      <c r="B14" s="20" t="s">
        <v>64</v>
      </c>
      <c r="C14" s="20" t="s">
        <v>130</v>
      </c>
      <c r="D14" s="21" t="s">
        <v>67</v>
      </c>
      <c r="E14" s="22">
        <v>3</v>
      </c>
      <c r="F14" s="20" t="s">
        <v>6</v>
      </c>
      <c r="G14" s="22">
        <v>1</v>
      </c>
      <c r="H14" s="21" t="s">
        <v>68</v>
      </c>
      <c r="I14" s="20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❌ Errou</v>
      </c>
      <c r="J14" s="20">
        <f>IF(OR(E14="",G14="",'Fase de Grupos'!F14="",'Fase de Grupos'!H14=""),"",IF(AND(E14='Fase de Grupos'!F14,G14='Fase de Grupos'!H14),5,IF(SIGN(E14-G14)=SIGN('Fase de Grupos'!F14-'Fase de Grupos'!H14),3,0)))</f>
        <v>0</v>
      </c>
    </row>
    <row r="15" spans="1:10" s="23" customFormat="1" x14ac:dyDescent="0.35">
      <c r="A15" s="20">
        <v>14</v>
      </c>
      <c r="B15" s="20" t="s">
        <v>64</v>
      </c>
      <c r="C15" s="20" t="s">
        <v>129</v>
      </c>
      <c r="D15" s="21" t="s">
        <v>71</v>
      </c>
      <c r="E15" s="22">
        <v>2</v>
      </c>
      <c r="F15" s="20" t="s">
        <v>6</v>
      </c>
      <c r="G15" s="22">
        <v>0</v>
      </c>
      <c r="H15" s="21" t="s">
        <v>72</v>
      </c>
      <c r="I15" s="20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❌ Errou</v>
      </c>
      <c r="J15" s="20">
        <f>IF(OR(E15="",G15="",'Fase de Grupos'!F15="",'Fase de Grupos'!H15=""),"",IF(AND(E15='Fase de Grupos'!F15,G15='Fase de Grupos'!H15),5,IF(SIGN(E15-G15)=SIGN('Fase de Grupos'!F15-'Fase de Grupos'!H15),3,0)))</f>
        <v>0</v>
      </c>
    </row>
    <row r="16" spans="1:10" s="23" customFormat="1" x14ac:dyDescent="0.35">
      <c r="A16" s="20">
        <v>15</v>
      </c>
      <c r="B16" s="20" t="s">
        <v>64</v>
      </c>
      <c r="C16" s="20" t="s">
        <v>130</v>
      </c>
      <c r="D16" s="21" t="s">
        <v>74</v>
      </c>
      <c r="E16" s="22">
        <v>1</v>
      </c>
      <c r="F16" s="20" t="s">
        <v>6</v>
      </c>
      <c r="G16" s="22">
        <v>2</v>
      </c>
      <c r="H16" s="21" t="s">
        <v>75</v>
      </c>
      <c r="I16" s="20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❌ Errou</v>
      </c>
      <c r="J16" s="20">
        <f>IF(OR(E16="",G16="",'Fase de Grupos'!F16="",'Fase de Grupos'!H16=""),"",IF(AND(E16='Fase de Grupos'!F16,G16='Fase de Grupos'!H16),5,IF(SIGN(E16-G16)=SIGN('Fase de Grupos'!F16-'Fase de Grupos'!H16),3,0)))</f>
        <v>0</v>
      </c>
    </row>
    <row r="17" spans="1:10" s="23" customFormat="1" x14ac:dyDescent="0.35">
      <c r="A17" s="20">
        <v>16</v>
      </c>
      <c r="B17" s="20" t="s">
        <v>64</v>
      </c>
      <c r="C17" s="20" t="s">
        <v>129</v>
      </c>
      <c r="D17" s="21" t="s">
        <v>77</v>
      </c>
      <c r="E17" s="22">
        <v>1</v>
      </c>
      <c r="F17" s="20" t="s">
        <v>6</v>
      </c>
      <c r="G17" s="22">
        <v>1</v>
      </c>
      <c r="H17" s="21" t="s">
        <v>78</v>
      </c>
      <c r="I17" s="20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🟡 Acertou resultado</v>
      </c>
      <c r="J17" s="20">
        <f>IF(OR(E17="",G17="",'Fase de Grupos'!F17="",'Fase de Grupos'!H17=""),"",IF(AND(E17='Fase de Grupos'!F17,G17='Fase de Grupos'!H17),5,IF(SIGN(E17-G17)=SIGN('Fase de Grupos'!F17-'Fase de Grupos'!H17),3,0)))</f>
        <v>3</v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3</v>
      </c>
      <c r="F18" s="2" t="s">
        <v>6</v>
      </c>
      <c r="G18" s="4">
        <v>1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✅ Placar exato!</v>
      </c>
      <c r="J18" s="2">
        <f>IF(OR(E18="",G18="",'Fase de Grupos'!F18="",'Fase de Grupos'!H18=""),"",IF(AND(E18='Fase de Grupos'!F18,G18='Fase de Grupos'!H18),5,IF(SIGN(E18-G18)=SIGN('Fase de Grupos'!F18-'Fase de Grupos'!H18),3,0)))</f>
        <v>5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2</v>
      </c>
      <c r="F19" s="2" t="s">
        <v>6</v>
      </c>
      <c r="G19" s="4">
        <v>1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❌ Errou</v>
      </c>
      <c r="J19" s="2">
        <f>IF(OR(E19="",G19="",'Fase de Grupos'!F19="",'Fase de Grupos'!H19=""),"",IF(AND(E19='Fase de Grupos'!F19,G19='Fase de Grupos'!H19),5,IF(SIGN(E19-G19)=SIGN('Fase de Grupos'!F19-'Fase de Grupos'!H19),3,0)))</f>
        <v>0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4</v>
      </c>
      <c r="F20" s="2" t="s">
        <v>6</v>
      </c>
      <c r="G20" s="4">
        <v>0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🟡 Acertou resultado</v>
      </c>
      <c r="J20" s="2">
        <f>IF(OR(E20="",G20="",'Fase de Grupos'!F20="",'Fase de Grupos'!H20=""),"",IF(AND(E20='Fase de Grupos'!F20,G20='Fase de Grupos'!H20),5,IF(SIGN(E20-G20)=SIGN('Fase de Grupos'!F20-'Fase de Grupos'!H20),3,0)))</f>
        <v>3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1</v>
      </c>
      <c r="F21" s="2" t="s">
        <v>6</v>
      </c>
      <c r="G21" s="4">
        <v>1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❌ Errou</v>
      </c>
      <c r="J21" s="2">
        <f>IF(OR(E21="",G21="",'Fase de Grupos'!F21="",'Fase de Grupos'!H21=""),"",IF(AND(E21='Fase de Grupos'!F21,G21='Fase de Grupos'!H21),5,IF(SIGN(E21-G21)=SIGN('Fase de Grupos'!F21-'Fase de Grupos'!H21),3,0)))</f>
        <v>0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2</v>
      </c>
      <c r="F22" s="2" t="s">
        <v>6</v>
      </c>
      <c r="G22" s="4">
        <v>1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3</v>
      </c>
      <c r="F23" s="2" t="s">
        <v>6</v>
      </c>
      <c r="G23" s="4">
        <v>2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🟡 Acertou resultado</v>
      </c>
      <c r="J23" s="2">
        <f>IF(OR(E23="",G23="",'Fase de Grupos'!F23="",'Fase de Grupos'!H23=""),"",IF(AND(E23='Fase de Grupos'!F23,G23='Fase de Grupos'!H23),5,IF(SIGN(E23-G23)=SIGN('Fase de Grupos'!F23-'Fase de Grupos'!H23),3,0)))</f>
        <v>3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2</v>
      </c>
      <c r="F24" s="2" t="s">
        <v>6</v>
      </c>
      <c r="G24" s="4">
        <v>1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🟡 Acertou resultado</v>
      </c>
      <c r="J24" s="2">
        <f>IF(OR(E24="",G24="",'Fase de Grupos'!F24="",'Fase de Grupos'!H24=""),"",IF(AND(E24='Fase de Grupos'!F24,G24='Fase de Grupos'!H24),5,IF(SIGN(E24-G24)=SIGN('Fase de Grupos'!F24-'Fase de Grupos'!H24),3,0)))</f>
        <v>3</v>
      </c>
    </row>
    <row r="25" spans="1:10" x14ac:dyDescent="0.35">
      <c r="A25" s="2">
        <v>24</v>
      </c>
      <c r="B25" s="2" t="s">
        <v>89</v>
      </c>
      <c r="C25" s="2" t="s">
        <v>133</v>
      </c>
      <c r="D25" s="3" t="s">
        <v>100</v>
      </c>
      <c r="E25" s="4">
        <v>1</v>
      </c>
      <c r="F25" s="2" t="s">
        <v>6</v>
      </c>
      <c r="G25" s="4">
        <v>2</v>
      </c>
      <c r="H25" s="3" t="s">
        <v>101</v>
      </c>
      <c r="I25" s="2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🟡 Acertou resultado</v>
      </c>
      <c r="J25" s="2">
        <f>IF(OR(E25="",G25="",'Fase de Grupos'!F25="",'Fase de Grupos'!H25=""),"",IF(AND(E25='Fase de Grupos'!F25,G25='Fase de Grupos'!H25),5,IF(SIGN(E25-G25)=SIGN('Fase de Grupos'!F25-'Fase de Grupos'!H25),3,0)))</f>
        <v>3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1</v>
      </c>
      <c r="F26" s="2" t="s">
        <v>6</v>
      </c>
      <c r="G26" s="4">
        <v>2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❌ Errou</v>
      </c>
      <c r="J26" s="2">
        <f>IF(OR(E26="",G26="",'Fase de Grupos'!F26="",'Fase de Grupos'!H26=""),"",IF(AND(E26='Fase de Grupos'!F26,G26='Fase de Grupos'!H26),5,IF(SIGN(E26-G26)=SIGN('Fase de Grupos'!F26-'Fase de Grupos'!H26),3,0)))</f>
        <v>0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2</v>
      </c>
      <c r="F27" s="2" t="s">
        <v>6</v>
      </c>
      <c r="G27" s="4">
        <v>0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🟡 Acertou resultado</v>
      </c>
      <c r="J27" s="2">
        <f>IF(OR(E27="",G27="",'Fase de Grupos'!F27="",'Fase de Grupos'!H27=""),"",IF(AND(E27='Fase de Grupos'!F27,G27='Fase de Grupos'!H27),5,IF(SIGN(E27-G27)=SIGN('Fase de Grupos'!F27-'Fase de Grupos'!H27),3,0)))</f>
        <v>3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1</v>
      </c>
      <c r="F28" s="2" t="s">
        <v>6</v>
      </c>
      <c r="G28" s="4">
        <v>1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❌ Errou</v>
      </c>
      <c r="J28" s="2">
        <f>IF(OR(E28="",G28="",'Fase de Grupos'!F28="",'Fase de Grupos'!H28=""),"",IF(AND(E28='Fase de Grupos'!F28,G28='Fase de Grupos'!H28),5,IF(SIGN(E28-G28)=SIGN('Fase de Grupos'!F28-'Fase de Grupos'!H28),3,0)))</f>
        <v>0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2</v>
      </c>
      <c r="F29" s="2" t="s">
        <v>6</v>
      </c>
      <c r="G29" s="4">
        <v>1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🟡 Acertou resultado</v>
      </c>
      <c r="J29" s="2">
        <f>IF(OR(E29="",G29="",'Fase de Grupos'!F29="",'Fase de Grupos'!H29=""),"",IF(AND(E29='Fase de Grupos'!F29,G29='Fase de Grupos'!H29),5,IF(SIGN(E29-G29)=SIGN('Fase de Grupos'!F29-'Fase de Grupos'!H29),3,0)))</f>
        <v>3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0</v>
      </c>
      <c r="F30" s="2" t="s">
        <v>6</v>
      </c>
      <c r="G30" s="4">
        <v>1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❌ Errou</v>
      </c>
      <c r="J30" s="2">
        <f>IF(OR(E30="",G30="",'Fase de Grupos'!F30="",'Fase de Grupos'!H30=""),"",IF(AND(E30='Fase de Grupos'!F30,G30='Fase de Grupos'!H30),5,IF(SIGN(E30-G30)=SIGN('Fase de Grupos'!F30-'Fase de Grupos'!H30),3,0)))</f>
        <v>0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2</v>
      </c>
      <c r="F31" s="2" t="s">
        <v>6</v>
      </c>
      <c r="G31" s="4">
        <v>2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❌ Errou</v>
      </c>
      <c r="J31" s="2">
        <f>IF(OR(E31="",G31="",'Fase de Grupos'!F31="",'Fase de Grupos'!H31=""),"",IF(AND(E31='Fase de Grupos'!F31,G31='Fase de Grupos'!H31),5,IF(SIGN(E31-G31)=SIGN('Fase de Grupos'!F31-'Fase de Grupos'!H31),3,0)))</f>
        <v>0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4</v>
      </c>
      <c r="F32" s="2" t="s">
        <v>6</v>
      </c>
      <c r="G32" s="4">
        <v>1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🟡 Acertou resultado</v>
      </c>
      <c r="J32" s="2">
        <f>IF(OR(E32="",G32="",'Fase de Grupos'!F32="",'Fase de Grupos'!H32=""),"",IF(AND(E32='Fase de Grupos'!F32,G32='Fase de Grupos'!H32),5,IF(SIGN(E32-G32)=SIGN('Fase de Grupos'!F32-'Fase de Grupos'!H32),3,0)))</f>
        <v>3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2</v>
      </c>
      <c r="F33" s="2" t="s">
        <v>6</v>
      </c>
      <c r="G33" s="4">
        <v>2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❌ Errou</v>
      </c>
      <c r="J33" s="2">
        <f>IF(OR(E33="",G33="",'Fase de Grupos'!F33="",'Fase de Grupos'!H33=""),"",IF(AND(E33='Fase de Grupos'!F33,G33='Fase de Grupos'!H33),5,IF(SIGN(E33-G33)=SIGN('Fase de Grupos'!F33-'Fase de Grupos'!H33),3,0)))</f>
        <v>0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4</v>
      </c>
      <c r="F34" s="2" t="s">
        <v>6</v>
      </c>
      <c r="G34" s="4">
        <v>1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🟡 Acertou resultado</v>
      </c>
      <c r="J34" s="2">
        <f>IF(OR(E34="",G34="",'Fase de Grupos'!F34="",'Fase de Grupos'!H34=""),"",IF(AND(E34='Fase de Grupos'!F34,G34='Fase de Grupos'!H34),5,IF(SIGN(E34-G34)=SIGN('Fase de Grupos'!F34-'Fase de Grupos'!H34),3,0)))</f>
        <v>3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2</v>
      </c>
      <c r="F35" s="2" t="s">
        <v>6</v>
      </c>
      <c r="G35" s="4">
        <v>2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🟡 Acertou resultado</v>
      </c>
      <c r="J35" s="2">
        <f>IF(OR(E35="",G35="",'Fase de Grupos'!F35="",'Fase de Grupos'!H35=""),"",IF(AND(E35='Fase de Grupos'!F35,G35='Fase de Grupos'!H35),5,IF(SIGN(E35-G35)=SIGN('Fase de Grupos'!F35-'Fase de Grupos'!H35),3,0)))</f>
        <v>3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2</v>
      </c>
      <c r="F36" s="2" t="s">
        <v>6</v>
      </c>
      <c r="G36" s="4">
        <v>1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🟡 Acertou resultado</v>
      </c>
      <c r="J36" s="2">
        <f>IF(OR(E36="",G36="",'Fase de Grupos'!F36="",'Fase de Grupos'!H36=""),"",IF(AND(E36='Fase de Grupos'!F36,G36='Fase de Grupos'!H36),5,IF(SIGN(E36-G36)=SIGN('Fase de Grupos'!F36-'Fase de Grupos'!H36),3,0)))</f>
        <v>3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1</v>
      </c>
      <c r="F37" s="2" t="s">
        <v>6</v>
      </c>
      <c r="G37" s="4">
        <v>1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❌ Errou</v>
      </c>
      <c r="J37" s="2">
        <f>IF(OR(E37="",G37="",'Fase de Grupos'!F37="",'Fase de Grupos'!H37=""),"",IF(AND(E37='Fase de Grupos'!F37,G37='Fase de Grupos'!H37),5,IF(SIGN(E37-G37)=SIGN('Fase de Grupos'!F37-'Fase de Grupos'!H37),3,0)))</f>
        <v>0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2</v>
      </c>
      <c r="F38" s="2" t="s">
        <v>6</v>
      </c>
      <c r="G38" s="4">
        <v>1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🟡 Acertou resultado</v>
      </c>
      <c r="J38" s="2">
        <f>IF(OR(E38="",G38="",'Fase de Grupos'!F38="",'Fase de Grupos'!H38=""),"",IF(AND(E38='Fase de Grupos'!F38,G38='Fase de Grupos'!H38),5,IF(SIGN(E38-G38)=SIGN('Fase de Grupos'!F38-'Fase de Grupos'!H38),3,0)))</f>
        <v>3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1</v>
      </c>
      <c r="F39" s="2" t="s">
        <v>6</v>
      </c>
      <c r="G39" s="4">
        <v>1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🟡 Acertou resultado</v>
      </c>
      <c r="J39" s="2">
        <f>IF(OR(E39="",G39="",'Fase de Grupos'!F39="",'Fase de Grupos'!H39=""),"",IF(AND(E39='Fase de Grupos'!F39,G39='Fase de Grupos'!H39),5,IF(SIGN(E39-G39)=SIGN('Fase de Grupos'!F39-'Fase de Grupos'!H39),3,0)))</f>
        <v>3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1</v>
      </c>
      <c r="F40" s="2" t="s">
        <v>6</v>
      </c>
      <c r="G40" s="4">
        <v>0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0</v>
      </c>
      <c r="F41" s="2" t="s">
        <v>6</v>
      </c>
      <c r="G41" s="4">
        <v>0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❌ Errou</v>
      </c>
      <c r="J41" s="2">
        <f>IF(OR(E41="",G41="",'Fase de Grupos'!F41="",'Fase de Grupos'!H41=""),"",IF(AND(E41='Fase de Grupos'!F41,G41='Fase de Grupos'!H41),5,IF(SIGN(E41-G41)=SIGN('Fase de Grupos'!F41-'Fase de Grupos'!H41),3,0)))</f>
        <v>0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3</v>
      </c>
      <c r="F42" s="2" t="s">
        <v>6</v>
      </c>
      <c r="G42" s="4">
        <v>1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🟡 Acertou resultado</v>
      </c>
      <c r="J42" s="2">
        <f>IF(OR(E42="",G42="",'Fase de Grupos'!F42="",'Fase de Grupos'!H42=""),"",IF(AND(E42='Fase de Grupos'!F42,G42='Fase de Grupos'!H42),5,IF(SIGN(E42-G42)=SIGN('Fase de Grupos'!F42-'Fase de Grupos'!H42),3,0)))</f>
        <v>3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1</v>
      </c>
      <c r="F43" s="2" t="s">
        <v>6</v>
      </c>
      <c r="G43" s="4">
        <v>2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❌ Errou</v>
      </c>
      <c r="J43" s="2">
        <f>IF(OR(E43="",G43="",'Fase de Grupos'!F43="",'Fase de Grupos'!H43=""),"",IF(AND(E43='Fase de Grupos'!F43,G43='Fase de Grupos'!H43),5,IF(SIGN(E43-G43)=SIGN('Fase de Grupos'!F43-'Fase de Grupos'!H43),3,0)))</f>
        <v>0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2</v>
      </c>
      <c r="F44" s="2" t="s">
        <v>6</v>
      </c>
      <c r="G44" s="4">
        <v>1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🟡 Acertou resultado</v>
      </c>
      <c r="J44" s="2">
        <f>IF(OR(E44="",G44="",'Fase de Grupos'!F44="",'Fase de Grupos'!H44=""),"",IF(AND(E44='Fase de Grupos'!F44,G44='Fase de Grupos'!H44),5,IF(SIGN(E44-G44)=SIGN('Fase de Grupos'!F44-'Fase de Grupos'!H44),3,0)))</f>
        <v>3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1</v>
      </c>
      <c r="F45" s="2" t="s">
        <v>6</v>
      </c>
      <c r="G45" s="4">
        <v>1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❌ Errou</v>
      </c>
      <c r="J45" s="2">
        <f>IF(OR(E45="",G45="",'Fase de Grupos'!F45="",'Fase de Grupos'!H45=""),"",IF(AND(E45='Fase de Grupos'!F45,G45='Fase de Grupos'!H45),5,IF(SIGN(E45-G45)=SIGN('Fase de Grupos'!F45-'Fase de Grupos'!H45),3,0)))</f>
        <v>0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2</v>
      </c>
      <c r="F46" s="2" t="s">
        <v>6</v>
      </c>
      <c r="G46" s="4">
        <v>1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❌ Errou</v>
      </c>
      <c r="J46" s="2">
        <f>IF(OR(E46="",G46="",'Fase de Grupos'!F46="",'Fase de Grupos'!H46=""),"",IF(AND(E46='Fase de Grupos'!F46,G46='Fase de Grupos'!H46),5,IF(SIGN(E46-G46)=SIGN('Fase de Grupos'!F46-'Fase de Grupos'!H46),3,0)))</f>
        <v>0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1</v>
      </c>
      <c r="F47" s="2" t="s">
        <v>6</v>
      </c>
      <c r="G47" s="4">
        <v>1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❌ Errou</v>
      </c>
      <c r="J47" s="2">
        <f>IF(OR(E47="",G47="",'Fase de Grupos'!F47="",'Fase de Grupos'!H47=""),"",IF(AND(E47='Fase de Grupos'!F47,G47='Fase de Grupos'!H47),5,IF(SIGN(E47-G47)=SIGN('Fase de Grupos'!F47-'Fase de Grupos'!H47),3,0)))</f>
        <v>0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2</v>
      </c>
      <c r="F48" s="2" t="s">
        <v>6</v>
      </c>
      <c r="G48" s="4">
        <v>0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2</v>
      </c>
      <c r="F49" s="2" t="s">
        <v>6</v>
      </c>
      <c r="G49" s="4">
        <v>1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🟡 Acertou resultado</v>
      </c>
      <c r="J49" s="2">
        <f>IF(OR(E49="",G49="",'Fase de Grupos'!F49="",'Fase de Grupos'!H49=""),"",IF(AND(E49='Fase de Grupos'!F49,G49='Fase de Grupos'!H49),5,IF(SIGN(E49-G49)=SIGN('Fase de Grupos'!F49-'Fase de Grupos'!H49),3,0)))</f>
        <v>3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1</v>
      </c>
      <c r="F50" s="2" t="s">
        <v>6</v>
      </c>
      <c r="G50" s="4">
        <v>2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🟡 Acertou resultado</v>
      </c>
      <c r="J50" s="2">
        <f>IF(OR(E50="",G50="",'Fase de Grupos'!F50="",'Fase de Grupos'!H50=""),"",IF(AND(E50='Fase de Grupos'!F50,G50='Fase de Grupos'!H50),5,IF(SIGN(E50-G50)=SIGN('Fase de Grupos'!F50-'Fase de Grupos'!H50),3,0)))</f>
        <v>3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2</v>
      </c>
      <c r="F51" s="2" t="s">
        <v>6</v>
      </c>
      <c r="G51" s="4">
        <v>1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🟡 Acertou resultado</v>
      </c>
      <c r="J51" s="2">
        <f>IF(OR(E51="",G51="",'Fase de Grupos'!F51="",'Fase de Grupos'!H51=""),"",IF(AND(E51='Fase de Grupos'!F51,G51='Fase de Grupos'!H51),5,IF(SIGN(E51-G51)=SIGN('Fase de Grupos'!F51-'Fase de Grupos'!H51),3,0)))</f>
        <v>3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2</v>
      </c>
      <c r="F52" s="2" t="s">
        <v>6</v>
      </c>
      <c r="G52" s="4">
        <v>0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🟡 Acertou resultado</v>
      </c>
      <c r="J52" s="2">
        <f>IF(OR(E52="",G52="",'Fase de Grupos'!F52="",'Fase de Grupos'!H52=""),"",IF(AND(E52='Fase de Grupos'!F52,G52='Fase de Grupos'!H52),5,IF(SIGN(E52-G52)=SIGN('Fase de Grupos'!F52-'Fase de Grupos'!H52),3,0)))</f>
        <v>3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1</v>
      </c>
      <c r="F53" s="2" t="s">
        <v>6</v>
      </c>
      <c r="G53" s="4">
        <v>1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❌ Errou</v>
      </c>
      <c r="J53" s="2">
        <f>IF(OR(E53="",G53="",'Fase de Grupos'!F53="",'Fase de Grupos'!H53=""),"",IF(AND(E53='Fase de Grupos'!F53,G53='Fase de Grupos'!H53),5,IF(SIGN(E53-G53)=SIGN('Fase de Grupos'!F53-'Fase de Grupos'!H53),3,0)))</f>
        <v>0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0</v>
      </c>
      <c r="F54" s="2" t="s">
        <v>6</v>
      </c>
      <c r="G54" s="4">
        <v>1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🟡 Acertou resultado</v>
      </c>
      <c r="J54" s="2">
        <f>IF(OR(E54="",G54="",'Fase de Grupos'!F54="",'Fase de Grupos'!H54=""),"",IF(AND(E54='Fase de Grupos'!F54,G54='Fase de Grupos'!H54),5,IF(SIGN(E54-G54)=SIGN('Fase de Grupos'!F54-'Fase de Grupos'!H54),3,0)))</f>
        <v>3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2</v>
      </c>
      <c r="F55" s="2" t="s">
        <v>6</v>
      </c>
      <c r="G55" s="4">
        <v>1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🟡 Acertou resultado</v>
      </c>
      <c r="J55" s="2">
        <f>IF(OR(E55="",G55="",'Fase de Grupos'!F55="",'Fase de Grupos'!H55=""),"",IF(AND(E55='Fase de Grupos'!F55,G55='Fase de Grupos'!H55),5,IF(SIGN(E55-G55)=SIGN('Fase de Grupos'!F55-'Fase de Grupos'!H55),3,0)))</f>
        <v>3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2</v>
      </c>
      <c r="F56" s="2" t="s">
        <v>6</v>
      </c>
      <c r="G56" s="4">
        <v>1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❌ Errou</v>
      </c>
      <c r="J56" s="2">
        <f>IF(OR(E56="",G56="",'Fase de Grupos'!F56="",'Fase de Grupos'!H56=""),"",IF(AND(E56='Fase de Grupos'!F56,G56='Fase de Grupos'!H56),5,IF(SIGN(E56-G56)=SIGN('Fase de Grupos'!F56-'Fase de Grupos'!H56),3,0)))</f>
        <v>0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1</v>
      </c>
      <c r="F57" s="2" t="s">
        <v>6</v>
      </c>
      <c r="G57" s="4">
        <v>3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2</v>
      </c>
      <c r="F58" s="2" t="s">
        <v>6</v>
      </c>
      <c r="G58" s="4">
        <v>1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❌ Errou</v>
      </c>
      <c r="J58" s="2">
        <f>IF(OR(E58="",G58="",'Fase de Grupos'!F58="",'Fase de Grupos'!H58=""),"",IF(AND(E58='Fase de Grupos'!F58,G58='Fase de Grupos'!H58),5,IF(SIGN(E58-G58)=SIGN('Fase de Grupos'!F58-'Fase de Grupos'!H58),3,0)))</f>
        <v>0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1</v>
      </c>
      <c r="F59" s="2" t="s">
        <v>6</v>
      </c>
      <c r="G59" s="4">
        <v>2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🟡 Acertou resultado</v>
      </c>
      <c r="J59" s="2">
        <f>IF(OR(E59="",G59="",'Fase de Grupos'!F59="",'Fase de Grupos'!H59=""),"",IF(AND(E59='Fase de Grupos'!F59,G59='Fase de Grupos'!H59),5,IF(SIGN(E59-G59)=SIGN('Fase de Grupos'!F59-'Fase de Grupos'!H59),3,0)))</f>
        <v>3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1</v>
      </c>
      <c r="F60" s="2" t="s">
        <v>6</v>
      </c>
      <c r="G60" s="4">
        <v>0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🟡 Acertou resultado</v>
      </c>
      <c r="J60" s="2">
        <f>IF(OR(E60="",G60="",'Fase de Grupos'!F60="",'Fase de Grupos'!H60=""),"",IF(AND(E60='Fase de Grupos'!F60,G60='Fase de Grupos'!H60),5,IF(SIGN(E60-G60)=SIGN('Fase de Grupos'!F60-'Fase de Grupos'!H60),3,0)))</f>
        <v>3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1</v>
      </c>
      <c r="F61" s="2" t="s">
        <v>6</v>
      </c>
      <c r="G61" s="4">
        <v>1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🟡 Acertou resultado</v>
      </c>
      <c r="J61" s="2">
        <f>IF(OR(E61="",G61="",'Fase de Grupos'!F61="",'Fase de Grupos'!H61=""),"",IF(AND(E61='Fase de Grupos'!F61,G61='Fase de Grupos'!H61),5,IF(SIGN(E61-G61)=SIGN('Fase de Grupos'!F61-'Fase de Grupos'!H61),3,0)))</f>
        <v>3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2</v>
      </c>
      <c r="F62" s="2" t="s">
        <v>6</v>
      </c>
      <c r="G62" s="4">
        <v>3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🟡 Acertou resultado</v>
      </c>
      <c r="J62" s="2">
        <f>IF(OR(E62="",G62="",'Fase de Grupos'!F62="",'Fase de Grupos'!H62=""),"",IF(AND(E62='Fase de Grupos'!F62,G62='Fase de Grupos'!H62),5,IF(SIGN(E62-G62)=SIGN('Fase de Grupos'!F62-'Fase de Grupos'!H62),3,0)))</f>
        <v>3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2</v>
      </c>
      <c r="F63" s="2" t="s">
        <v>6</v>
      </c>
      <c r="G63" s="4">
        <v>1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🟡 Acertou resultado</v>
      </c>
      <c r="J63" s="2">
        <f>IF(OR(E63="",G63="",'Fase de Grupos'!F63="",'Fase de Grupos'!H63=""),"",IF(AND(E63='Fase de Grupos'!F63,G63='Fase de Grupos'!H63),5,IF(SIGN(E63-G63)=SIGN('Fase de Grupos'!F63-'Fase de Grupos'!H63),3,0)))</f>
        <v>3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1</v>
      </c>
      <c r="F64" s="2" t="s">
        <v>6</v>
      </c>
      <c r="G64" s="4">
        <v>1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✅ Placar exato!</v>
      </c>
      <c r="J64" s="2">
        <f>IF(OR(E64="",G64="",'Fase de Grupos'!F64="",'Fase de Grupos'!H64=""),"",IF(AND(E64='Fase de Grupos'!F64,G64='Fase de Grupos'!H64),5,IF(SIGN(E64-G64)=SIGN('Fase de Grupos'!F64-'Fase de Grupos'!H64),3,0)))</f>
        <v>5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1</v>
      </c>
      <c r="F65" s="2" t="s">
        <v>6</v>
      </c>
      <c r="G65" s="4">
        <v>0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❌ Errou</v>
      </c>
      <c r="J65" s="2">
        <f>IF(OR(E65="",G65="",'Fase de Grupos'!F65="",'Fase de Grupos'!H65=""),"",IF(AND(E65='Fase de Grupos'!F65,G65='Fase de Grupos'!H65),5,IF(SIGN(E65-G65)=SIGN('Fase de Grupos'!F65-'Fase de Grupos'!H65),3,0)))</f>
        <v>0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2</v>
      </c>
      <c r="F66" s="2" t="s">
        <v>6</v>
      </c>
      <c r="G66" s="4">
        <v>2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🟡 Acertou resultado</v>
      </c>
      <c r="J66" s="2">
        <f>IF(OR(E66="",G66="",'Fase de Grupos'!F66="",'Fase de Grupos'!H66=""),"",IF(AND(E66='Fase de Grupos'!F66,G66='Fase de Grupos'!H66),5,IF(SIGN(E66-G66)=SIGN('Fase de Grupos'!F66-'Fase de Grupos'!H66),3,0)))</f>
        <v>3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2</v>
      </c>
      <c r="F67" s="2" t="s">
        <v>6</v>
      </c>
      <c r="G67" s="4">
        <v>3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🟡 Acertou resultado</v>
      </c>
      <c r="J67" s="2">
        <f>IF(OR(E67="",G67="",'Fase de Grupos'!F67="",'Fase de Grupos'!H67=""),"",IF(AND(E67='Fase de Grupos'!F67,G67='Fase de Grupos'!H67),5,IF(SIGN(E67-G67)=SIGN('Fase de Grupos'!F67-'Fase de Grupos'!H67),3,0)))</f>
        <v>3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1</v>
      </c>
      <c r="F68" s="2" t="s">
        <v>6</v>
      </c>
      <c r="G68" s="4">
        <v>2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2</v>
      </c>
      <c r="F69" s="2" t="s">
        <v>6</v>
      </c>
      <c r="G69" s="4">
        <v>1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✅ Placar exato!</v>
      </c>
      <c r="J69" s="2">
        <f>IF(OR(E69="",G69="",'Fase de Grupos'!F69="",'Fase de Grupos'!H69=""),"",IF(AND(E69='Fase de Grupos'!F69,G69='Fase de Grupos'!H69),5,IF(SIGN(E69-G69)=SIGN('Fase de Grupos'!F69-'Fase de Grupos'!H69),3,0)))</f>
        <v>5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1</v>
      </c>
      <c r="F70" s="2" t="s">
        <v>6</v>
      </c>
      <c r="G70" s="4">
        <v>1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🟡 Acertou resultado</v>
      </c>
      <c r="J70" s="2">
        <f>IF(OR(E70="",G70="",'Fase de Grupos'!F70="",'Fase de Grupos'!H70=""),"",IF(AND(E70='Fase de Grupos'!F70,G70='Fase de Grupos'!H70),5,IF(SIGN(E70-G70)=SIGN('Fase de Grupos'!F70-'Fase de Grupos'!H70),3,0)))</f>
        <v>3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1</v>
      </c>
      <c r="F71" s="2" t="s">
        <v>6</v>
      </c>
      <c r="G71" s="4">
        <v>2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🟡 Acertou resultado</v>
      </c>
      <c r="J71" s="2">
        <f>IF(OR(E71="",G71="",'Fase de Grupos'!F71="",'Fase de Grupos'!H71=""),"",IF(AND(E71='Fase de Grupos'!F71,G71='Fase de Grupos'!H71),5,IF(SIGN(E71-G71)=SIGN('Fase de Grupos'!F71-'Fase de Grupos'!H71),3,0)))</f>
        <v>3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2</v>
      </c>
      <c r="F72" s="2" t="s">
        <v>6</v>
      </c>
      <c r="G72" s="4">
        <v>3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❌ Errou</v>
      </c>
      <c r="J72" s="2">
        <f>IF(OR(E72="",G72="",'Fase de Grupos'!F72="",'Fase de Grupos'!H72=""),"",IF(AND(E72='Fase de Grupos'!F72,G72='Fase de Grupos'!H72),5,IF(SIGN(E72-G72)=SIGN('Fase de Grupos'!F72-'Fase de Grupos'!H72),3,0)))</f>
        <v>0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1</v>
      </c>
      <c r="F73" s="2" t="s">
        <v>6</v>
      </c>
      <c r="G73" s="4">
        <v>0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🟡 Acertou resultado</v>
      </c>
      <c r="J73" s="2">
        <f>IF(OR(E73="",G73="",'Fase de Grupos'!F73="",'Fase de Grupos'!H73=""),"",IF(AND(E73='Fase de Grupos'!F73,G73='Fase de Grupos'!H73),5,IF(SIGN(E73-G73)=SIGN('Fase de Grupos'!F73-'Fase de Grupos'!H73),3,0)))</f>
        <v>3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114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6" tint="0.79998168889431442"/>
  </sheetPr>
  <dimension ref="A1:J83"/>
  <sheetViews>
    <sheetView workbookViewId="0">
      <pane ySplit="1" topLeftCell="A2" activePane="bottomLeft" state="frozen"/>
      <selection activeCell="E2" sqref="E2:G13"/>
      <selection pane="bottomLeft" activeCell="E2" sqref="E2:G1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s="23" customFormat="1" x14ac:dyDescent="0.35">
      <c r="A14" s="20">
        <v>13</v>
      </c>
      <c r="B14" s="20" t="s">
        <v>64</v>
      </c>
      <c r="C14" s="20" t="s">
        <v>130</v>
      </c>
      <c r="D14" s="21" t="s">
        <v>67</v>
      </c>
      <c r="E14" s="22"/>
      <c r="F14" s="20" t="s">
        <v>6</v>
      </c>
      <c r="G14" s="22"/>
      <c r="H14" s="21" t="s">
        <v>68</v>
      </c>
      <c r="I14" s="20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⏳</v>
      </c>
      <c r="J14" s="20" t="str">
        <f>IF(OR(E14="",G14="",'Fase de Grupos'!F14="",'Fase de Grupos'!H14=""),"",IF(AND(E14='Fase de Grupos'!F14,G14='Fase de Grupos'!H14),5,IF(SIGN(E14-G14)=SIGN('Fase de Grupos'!F14-'Fase de Grupos'!H14),3,0)))</f>
        <v/>
      </c>
    </row>
    <row r="15" spans="1:10" s="23" customFormat="1" x14ac:dyDescent="0.35">
      <c r="A15" s="20">
        <v>14</v>
      </c>
      <c r="B15" s="20" t="s">
        <v>64</v>
      </c>
      <c r="C15" s="20" t="s">
        <v>129</v>
      </c>
      <c r="D15" s="21" t="s">
        <v>71</v>
      </c>
      <c r="E15" s="22"/>
      <c r="F15" s="20" t="s">
        <v>6</v>
      </c>
      <c r="G15" s="22"/>
      <c r="H15" s="21" t="s">
        <v>72</v>
      </c>
      <c r="I15" s="20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⏳</v>
      </c>
      <c r="J15" s="20" t="str">
        <f>IF(OR(E15="",G15="",'Fase de Grupos'!F15="",'Fase de Grupos'!H15=""),"",IF(AND(E15='Fase de Grupos'!F15,G15='Fase de Grupos'!H15),5,IF(SIGN(E15-G15)=SIGN('Fase de Grupos'!F15-'Fase de Grupos'!H15),3,0)))</f>
        <v/>
      </c>
    </row>
    <row r="16" spans="1:10" s="23" customFormat="1" x14ac:dyDescent="0.35">
      <c r="A16" s="20">
        <v>15</v>
      </c>
      <c r="B16" s="20" t="s">
        <v>64</v>
      </c>
      <c r="C16" s="20" t="s">
        <v>130</v>
      </c>
      <c r="D16" s="21" t="s">
        <v>74</v>
      </c>
      <c r="E16" s="22"/>
      <c r="F16" s="20" t="s">
        <v>6</v>
      </c>
      <c r="G16" s="22"/>
      <c r="H16" s="21" t="s">
        <v>75</v>
      </c>
      <c r="I16" s="20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⏳</v>
      </c>
      <c r="J16" s="20" t="str">
        <f>IF(OR(E16="",G16="",'Fase de Grupos'!F16="",'Fase de Grupos'!H16=""),"",IF(AND(E16='Fase de Grupos'!F16,G16='Fase de Grupos'!H16),5,IF(SIGN(E16-G16)=SIGN('Fase de Grupos'!F16-'Fase de Grupos'!H16),3,0)))</f>
        <v/>
      </c>
    </row>
    <row r="17" spans="1:10" s="23" customFormat="1" x14ac:dyDescent="0.35">
      <c r="A17" s="20">
        <v>16</v>
      </c>
      <c r="B17" s="20" t="s">
        <v>64</v>
      </c>
      <c r="C17" s="20" t="s">
        <v>129</v>
      </c>
      <c r="D17" s="21" t="s">
        <v>77</v>
      </c>
      <c r="E17" s="22"/>
      <c r="F17" s="20" t="s">
        <v>6</v>
      </c>
      <c r="G17" s="22"/>
      <c r="H17" s="21" t="s">
        <v>78</v>
      </c>
      <c r="I17" s="20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⏳</v>
      </c>
      <c r="J17" s="20" t="str">
        <f>IF(OR(E17="",G17="",'Fase de Grupos'!F17="",'Fase de Grupos'!H17=""),"",IF(AND(E17='Fase de Grupos'!F17,G17='Fase de Grupos'!H17),5,IF(SIGN(E17-G17)=SIGN('Fase de Grupos'!F17-'Fase de Grupos'!H17),3,0)))</f>
        <v/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2</v>
      </c>
      <c r="F18" s="2" t="s">
        <v>6</v>
      </c>
      <c r="G18" s="4">
        <v>1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🟡 Acertou resultado</v>
      </c>
      <c r="J18" s="2">
        <f>IF(OR(E18="",G18="",'Fase de Grupos'!F18="",'Fase de Grupos'!H18=""),"",IF(AND(E18='Fase de Grupos'!F18,G18='Fase de Grupos'!H18),5,IF(SIGN(E18-G18)=SIGN('Fase de Grupos'!F18-'Fase de Grupos'!H18),3,0)))</f>
        <v>3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1</v>
      </c>
      <c r="F19" s="2" t="s">
        <v>6</v>
      </c>
      <c r="G19" s="4">
        <v>2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🟡 Acertou resultado</v>
      </c>
      <c r="J19" s="2">
        <f>IF(OR(E19="",G19="",'Fase de Grupos'!F19="",'Fase de Grupos'!H19=""),"",IF(AND(E19='Fase de Grupos'!F19,G19='Fase de Grupos'!H19),5,IF(SIGN(E19-G19)=SIGN('Fase de Grupos'!F19-'Fase de Grupos'!H19),3,0)))</f>
        <v>3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3</v>
      </c>
      <c r="F20" s="2" t="s">
        <v>6</v>
      </c>
      <c r="G20" s="4">
        <v>0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✅ Placar exato!</v>
      </c>
      <c r="J20" s="2">
        <f>IF(OR(E20="",G20="",'Fase de Grupos'!F20="",'Fase de Grupos'!H20=""),"",IF(AND(E20='Fase de Grupos'!F20,G20='Fase de Grupos'!H20),5,IF(SIGN(E20-G20)=SIGN('Fase de Grupos'!F20-'Fase de Grupos'!H20),3,0)))</f>
        <v>5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2</v>
      </c>
      <c r="F21" s="2" t="s">
        <v>6</v>
      </c>
      <c r="G21" s="4">
        <v>0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🟡 Acertou resultado</v>
      </c>
      <c r="J21" s="2">
        <f>IF(OR(E21="",G21="",'Fase de Grupos'!F21="",'Fase de Grupos'!H21=""),"",IF(AND(E21='Fase de Grupos'!F21,G21='Fase de Grupos'!H21),5,IF(SIGN(E21-G21)=SIGN('Fase de Grupos'!F21-'Fase de Grupos'!H21),3,0)))</f>
        <v>3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2</v>
      </c>
      <c r="F22" s="2" t="s">
        <v>6</v>
      </c>
      <c r="G22" s="4">
        <v>1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2</v>
      </c>
      <c r="F23" s="2" t="s">
        <v>6</v>
      </c>
      <c r="G23" s="4">
        <v>2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❌ Errou</v>
      </c>
      <c r="J23" s="2">
        <f>IF(OR(E23="",G23="",'Fase de Grupos'!F23="",'Fase de Grupos'!H23=""),"",IF(AND(E23='Fase de Grupos'!F23,G23='Fase de Grupos'!H23),5,IF(SIGN(E23-G23)=SIGN('Fase de Grupos'!F23-'Fase de Grupos'!H23),3,0)))</f>
        <v>0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2</v>
      </c>
      <c r="F24" s="2" t="s">
        <v>6</v>
      </c>
      <c r="G24" s="4">
        <v>0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🟡 Acertou resultado</v>
      </c>
      <c r="J24" s="2">
        <f>IF(OR(E24="",G24="",'Fase de Grupos'!F24="",'Fase de Grupos'!H24=""),"",IF(AND(E24='Fase de Grupos'!F24,G24='Fase de Grupos'!H24),5,IF(SIGN(E24-G24)=SIGN('Fase de Grupos'!F24-'Fase de Grupos'!H24),3,0)))</f>
        <v>3</v>
      </c>
    </row>
    <row r="25" spans="1:10" x14ac:dyDescent="0.35">
      <c r="A25" s="2">
        <v>24</v>
      </c>
      <c r="B25" s="2" t="s">
        <v>89</v>
      </c>
      <c r="C25" s="2" t="s">
        <v>133</v>
      </c>
      <c r="D25" s="3" t="s">
        <v>100</v>
      </c>
      <c r="E25" s="4">
        <v>0</v>
      </c>
      <c r="F25" s="2" t="s">
        <v>6</v>
      </c>
      <c r="G25" s="4">
        <v>2</v>
      </c>
      <c r="H25" s="3" t="s">
        <v>101</v>
      </c>
      <c r="I25" s="2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🟡 Acertou resultado</v>
      </c>
      <c r="J25" s="2">
        <f>IF(OR(E25="",G25="",'Fase de Grupos'!F25="",'Fase de Grupos'!H25=""),"",IF(AND(E25='Fase de Grupos'!F25,G25='Fase de Grupos'!H25),5,IF(SIGN(E25-G25)=SIGN('Fase de Grupos'!F25-'Fase de Grupos'!H25),3,0)))</f>
        <v>3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1</v>
      </c>
      <c r="F26" s="2" t="s">
        <v>6</v>
      </c>
      <c r="G26" s="4">
        <v>1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✅ Placar exato!</v>
      </c>
      <c r="J26" s="2">
        <f>IF(OR(E26="",G26="",'Fase de Grupos'!F26="",'Fase de Grupos'!H26=""),"",IF(AND(E26='Fase de Grupos'!F26,G26='Fase de Grupos'!H26),5,IF(SIGN(E26-G26)=SIGN('Fase de Grupos'!F26-'Fase de Grupos'!H26),3,0)))</f>
        <v>5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2</v>
      </c>
      <c r="F27" s="2" t="s">
        <v>6</v>
      </c>
      <c r="G27" s="4">
        <v>0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🟡 Acertou resultado</v>
      </c>
      <c r="J27" s="2">
        <f>IF(OR(E27="",G27="",'Fase de Grupos'!F27="",'Fase de Grupos'!H27=""),"",IF(AND(E27='Fase de Grupos'!F27,G27='Fase de Grupos'!H27),5,IF(SIGN(E27-G27)=SIGN('Fase de Grupos'!F27-'Fase de Grupos'!H27),3,0)))</f>
        <v>3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1</v>
      </c>
      <c r="F28" s="2" t="s">
        <v>6</v>
      </c>
      <c r="G28" s="4">
        <v>1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❌ Errou</v>
      </c>
      <c r="J28" s="2">
        <f>IF(OR(E28="",G28="",'Fase de Grupos'!F28="",'Fase de Grupos'!H28=""),"",IF(AND(E28='Fase de Grupos'!F28,G28='Fase de Grupos'!H28),5,IF(SIGN(E28-G28)=SIGN('Fase de Grupos'!F28-'Fase de Grupos'!H28),3,0)))</f>
        <v>0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2</v>
      </c>
      <c r="F29" s="2" t="s">
        <v>6</v>
      </c>
      <c r="G29" s="4">
        <v>2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❌ Errou</v>
      </c>
      <c r="J29" s="2">
        <f>IF(OR(E29="",G29="",'Fase de Grupos'!F29="",'Fase de Grupos'!H29=""),"",IF(AND(E29='Fase de Grupos'!F29,G29='Fase de Grupos'!H29),5,IF(SIGN(E29-G29)=SIGN('Fase de Grupos'!F29-'Fase de Grupos'!H29),3,0)))</f>
        <v>0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2</v>
      </c>
      <c r="F30" s="2" t="s">
        <v>6</v>
      </c>
      <c r="G30" s="4">
        <v>2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❌ Errou</v>
      </c>
      <c r="J30" s="2">
        <f>IF(OR(E30="",G30="",'Fase de Grupos'!F30="",'Fase de Grupos'!H30=""),"",IF(AND(E30='Fase de Grupos'!F30,G30='Fase de Grupos'!H30),5,IF(SIGN(E30-G30)=SIGN('Fase de Grupos'!F30-'Fase de Grupos'!H30),3,0)))</f>
        <v>0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1</v>
      </c>
      <c r="F31" s="2" t="s">
        <v>6</v>
      </c>
      <c r="G31" s="4">
        <v>2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🟡 Acertou resultado</v>
      </c>
      <c r="J31" s="2">
        <f>IF(OR(E31="",G31="",'Fase de Grupos'!F31="",'Fase de Grupos'!H31=""),"",IF(AND(E31='Fase de Grupos'!F31,G31='Fase de Grupos'!H31),5,IF(SIGN(E31-G31)=SIGN('Fase de Grupos'!F31-'Fase de Grupos'!H31),3,0)))</f>
        <v>3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3</v>
      </c>
      <c r="F32" s="2" t="s">
        <v>6</v>
      </c>
      <c r="G32" s="4">
        <v>0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✅ Placar exato!</v>
      </c>
      <c r="J32" s="2">
        <f>IF(OR(E32="",G32="",'Fase de Grupos'!F32="",'Fase de Grupos'!H32=""),"",IF(AND(E32='Fase de Grupos'!F32,G32='Fase de Grupos'!H32),5,IF(SIGN(E32-G32)=SIGN('Fase de Grupos'!F32-'Fase de Grupos'!H32),3,0)))</f>
        <v>5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1</v>
      </c>
      <c r="F33" s="2" t="s">
        <v>6</v>
      </c>
      <c r="G33" s="4">
        <v>2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🟡 Acertou resultado</v>
      </c>
      <c r="J33" s="2">
        <f>IF(OR(E33="",G33="",'Fase de Grupos'!F33="",'Fase de Grupos'!H33=""),"",IF(AND(E33='Fase de Grupos'!F33,G33='Fase de Grupos'!H33),5,IF(SIGN(E33-G33)=SIGN('Fase de Grupos'!F33-'Fase de Grupos'!H33),3,0)))</f>
        <v>3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4</v>
      </c>
      <c r="F34" s="2" t="s">
        <v>6</v>
      </c>
      <c r="G34" s="4">
        <v>1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🟡 Acertou resultado</v>
      </c>
      <c r="J34" s="2">
        <f>IF(OR(E34="",G34="",'Fase de Grupos'!F34="",'Fase de Grupos'!H34=""),"",IF(AND(E34='Fase de Grupos'!F34,G34='Fase de Grupos'!H34),5,IF(SIGN(E34-G34)=SIGN('Fase de Grupos'!F34-'Fase de Grupos'!H34),3,0)))</f>
        <v>3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2</v>
      </c>
      <c r="F35" s="2" t="s">
        <v>6</v>
      </c>
      <c r="G35" s="4">
        <v>0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❌ Errou</v>
      </c>
      <c r="J35" s="2">
        <f>IF(OR(E35="",G35="",'Fase de Grupos'!F35="",'Fase de Grupos'!H35=""),"",IF(AND(E35='Fase de Grupos'!F35,G35='Fase de Grupos'!H35),5,IF(SIGN(E35-G35)=SIGN('Fase de Grupos'!F35-'Fase de Grupos'!H35),3,0)))</f>
        <v>0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2</v>
      </c>
      <c r="F36" s="2" t="s">
        <v>6</v>
      </c>
      <c r="G36" s="4">
        <v>1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🟡 Acertou resultado</v>
      </c>
      <c r="J36" s="2">
        <f>IF(OR(E36="",G36="",'Fase de Grupos'!F36="",'Fase de Grupos'!H36=""),"",IF(AND(E36='Fase de Grupos'!F36,G36='Fase de Grupos'!H36),5,IF(SIGN(E36-G36)=SIGN('Fase de Grupos'!F36-'Fase de Grupos'!H36),3,0)))</f>
        <v>3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0</v>
      </c>
      <c r="F37" s="2" t="s">
        <v>6</v>
      </c>
      <c r="G37" s="4">
        <v>2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🟡 Acertou resultado</v>
      </c>
      <c r="J37" s="2">
        <f>IF(OR(E37="",G37="",'Fase de Grupos'!F37="",'Fase de Grupos'!H37=""),"",IF(AND(E37='Fase de Grupos'!F37,G37='Fase de Grupos'!H37),5,IF(SIGN(E37-G37)=SIGN('Fase de Grupos'!F37-'Fase de Grupos'!H37),3,0)))</f>
        <v>3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2</v>
      </c>
      <c r="F38" s="2" t="s">
        <v>6</v>
      </c>
      <c r="G38" s="4">
        <v>1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🟡 Acertou resultado</v>
      </c>
      <c r="J38" s="2">
        <f>IF(OR(E38="",G38="",'Fase de Grupos'!F38="",'Fase de Grupos'!H38=""),"",IF(AND(E38='Fase de Grupos'!F38,G38='Fase de Grupos'!H38),5,IF(SIGN(E38-G38)=SIGN('Fase de Grupos'!F38-'Fase de Grupos'!H38),3,0)))</f>
        <v>3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1</v>
      </c>
      <c r="F39" s="2" t="s">
        <v>6</v>
      </c>
      <c r="G39" s="4">
        <v>1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🟡 Acertou resultado</v>
      </c>
      <c r="J39" s="2">
        <f>IF(OR(E39="",G39="",'Fase de Grupos'!F39="",'Fase de Grupos'!H39=""),"",IF(AND(E39='Fase de Grupos'!F39,G39='Fase de Grupos'!H39),5,IF(SIGN(E39-G39)=SIGN('Fase de Grupos'!F39-'Fase de Grupos'!H39),3,0)))</f>
        <v>3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2</v>
      </c>
      <c r="F40" s="2" t="s">
        <v>6</v>
      </c>
      <c r="G40" s="4">
        <v>0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1</v>
      </c>
      <c r="F41" s="2" t="s">
        <v>6</v>
      </c>
      <c r="G41" s="4">
        <v>1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❌ Errou</v>
      </c>
      <c r="J41" s="2">
        <f>IF(OR(E41="",G41="",'Fase de Grupos'!F41="",'Fase de Grupos'!H41=""),"",IF(AND(E41='Fase de Grupos'!F41,G41='Fase de Grupos'!H41),5,IF(SIGN(E41-G41)=SIGN('Fase de Grupos'!F41-'Fase de Grupos'!H41),3,0)))</f>
        <v>0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3</v>
      </c>
      <c r="F42" s="2" t="s">
        <v>6</v>
      </c>
      <c r="G42" s="4">
        <v>1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🟡 Acertou resultado</v>
      </c>
      <c r="J42" s="2">
        <f>IF(OR(E42="",G42="",'Fase de Grupos'!F42="",'Fase de Grupos'!H42=""),"",IF(AND(E42='Fase de Grupos'!F42,G42='Fase de Grupos'!H42),5,IF(SIGN(E42-G42)=SIGN('Fase de Grupos'!F42-'Fase de Grupos'!H42),3,0)))</f>
        <v>3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3</v>
      </c>
      <c r="F43" s="2" t="s">
        <v>6</v>
      </c>
      <c r="G43" s="4">
        <v>1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🟡 Acertou resultado</v>
      </c>
      <c r="J43" s="2">
        <f>IF(OR(E43="",G43="",'Fase de Grupos'!F43="",'Fase de Grupos'!H43=""),"",IF(AND(E43='Fase de Grupos'!F43,G43='Fase de Grupos'!H43),5,IF(SIGN(E43-G43)=SIGN('Fase de Grupos'!F43-'Fase de Grupos'!H43),3,0)))</f>
        <v>3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2</v>
      </c>
      <c r="F44" s="2" t="s">
        <v>6</v>
      </c>
      <c r="G44" s="4">
        <v>0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✅ Placar exato!</v>
      </c>
      <c r="J44" s="2">
        <f>IF(OR(E44="",G44="",'Fase de Grupos'!F44="",'Fase de Grupos'!H44=""),"",IF(AND(E44='Fase de Grupos'!F44,G44='Fase de Grupos'!H44),5,IF(SIGN(E44-G44)=SIGN('Fase de Grupos'!F44-'Fase de Grupos'!H44),3,0)))</f>
        <v>5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1</v>
      </c>
      <c r="F45" s="2" t="s">
        <v>6</v>
      </c>
      <c r="G45" s="4">
        <v>1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❌ Errou</v>
      </c>
      <c r="J45" s="2">
        <f>IF(OR(E45="",G45="",'Fase de Grupos'!F45="",'Fase de Grupos'!H45=""),"",IF(AND(E45='Fase de Grupos'!F45,G45='Fase de Grupos'!H45),5,IF(SIGN(E45-G45)=SIGN('Fase de Grupos'!F45-'Fase de Grupos'!H45),3,0)))</f>
        <v>0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3</v>
      </c>
      <c r="F46" s="2" t="s">
        <v>6</v>
      </c>
      <c r="G46" s="4">
        <v>2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❌ Errou</v>
      </c>
      <c r="J46" s="2">
        <f>IF(OR(E46="",G46="",'Fase de Grupos'!F46="",'Fase de Grupos'!H46=""),"",IF(AND(E46='Fase de Grupos'!F46,G46='Fase de Grupos'!H46),5,IF(SIGN(E46-G46)=SIGN('Fase de Grupos'!F46-'Fase de Grupos'!H46),3,0)))</f>
        <v>0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0</v>
      </c>
      <c r="F47" s="2" t="s">
        <v>6</v>
      </c>
      <c r="G47" s="4">
        <v>2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🟡 Acertou resultado</v>
      </c>
      <c r="J47" s="2">
        <f>IF(OR(E47="",G47="",'Fase de Grupos'!F47="",'Fase de Grupos'!H47=""),"",IF(AND(E47='Fase de Grupos'!F47,G47='Fase de Grupos'!H47),5,IF(SIGN(E47-G47)=SIGN('Fase de Grupos'!F47-'Fase de Grupos'!H47),3,0)))</f>
        <v>3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2</v>
      </c>
      <c r="F48" s="2" t="s">
        <v>6</v>
      </c>
      <c r="G48" s="4">
        <v>0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2</v>
      </c>
      <c r="F49" s="2" t="s">
        <v>6</v>
      </c>
      <c r="G49" s="4">
        <v>0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🟡 Acertou resultado</v>
      </c>
      <c r="J49" s="2">
        <f>IF(OR(E49="",G49="",'Fase de Grupos'!F49="",'Fase de Grupos'!H49=""),"",IF(AND(E49='Fase de Grupos'!F49,G49='Fase de Grupos'!H49),5,IF(SIGN(E49-G49)=SIGN('Fase de Grupos'!F49-'Fase de Grupos'!H49),3,0)))</f>
        <v>3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0</v>
      </c>
      <c r="F50" s="2" t="s">
        <v>6</v>
      </c>
      <c r="G50" s="4">
        <v>2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🟡 Acertou resultado</v>
      </c>
      <c r="J50" s="2">
        <f>IF(OR(E50="",G50="",'Fase de Grupos'!F50="",'Fase de Grupos'!H50=""),"",IF(AND(E50='Fase de Grupos'!F50,G50='Fase de Grupos'!H50),5,IF(SIGN(E50-G50)=SIGN('Fase de Grupos'!F50-'Fase de Grupos'!H50),3,0)))</f>
        <v>3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2</v>
      </c>
      <c r="F51" s="2" t="s">
        <v>6</v>
      </c>
      <c r="G51" s="4">
        <v>0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🟡 Acertou resultado</v>
      </c>
      <c r="J51" s="2">
        <f>IF(OR(E51="",G51="",'Fase de Grupos'!F51="",'Fase de Grupos'!H51=""),"",IF(AND(E51='Fase de Grupos'!F51,G51='Fase de Grupos'!H51),5,IF(SIGN(E51-G51)=SIGN('Fase de Grupos'!F51-'Fase de Grupos'!H51),3,0)))</f>
        <v>3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1</v>
      </c>
      <c r="F52" s="2" t="s">
        <v>6</v>
      </c>
      <c r="G52" s="4">
        <v>1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❌ Errou</v>
      </c>
      <c r="J52" s="2">
        <f>IF(OR(E52="",G52="",'Fase de Grupos'!F52="",'Fase de Grupos'!H52=""),"",IF(AND(E52='Fase de Grupos'!F52,G52='Fase de Grupos'!H52),5,IF(SIGN(E52-G52)=SIGN('Fase de Grupos'!F52-'Fase de Grupos'!H52),3,0)))</f>
        <v>0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1</v>
      </c>
      <c r="F53" s="2" t="s">
        <v>6</v>
      </c>
      <c r="G53" s="4">
        <v>1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❌ Errou</v>
      </c>
      <c r="J53" s="2">
        <f>IF(OR(E53="",G53="",'Fase de Grupos'!F53="",'Fase de Grupos'!H53=""),"",IF(AND(E53='Fase de Grupos'!F53,G53='Fase de Grupos'!H53),5,IF(SIGN(E53-G53)=SIGN('Fase de Grupos'!F53-'Fase de Grupos'!H53),3,0)))</f>
        <v>0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1</v>
      </c>
      <c r="F54" s="2" t="s">
        <v>6</v>
      </c>
      <c r="G54" s="4">
        <v>2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🟡 Acertou resultado</v>
      </c>
      <c r="J54" s="2">
        <f>IF(OR(E54="",G54="",'Fase de Grupos'!F54="",'Fase de Grupos'!H54=""),"",IF(AND(E54='Fase de Grupos'!F54,G54='Fase de Grupos'!H54),5,IF(SIGN(E54-G54)=SIGN('Fase de Grupos'!F54-'Fase de Grupos'!H54),3,0)))</f>
        <v>3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1</v>
      </c>
      <c r="F55" s="2" t="s">
        <v>6</v>
      </c>
      <c r="G55" s="4">
        <v>1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❌ Errou</v>
      </c>
      <c r="J55" s="2">
        <f>IF(OR(E55="",G55="",'Fase de Grupos'!F55="",'Fase de Grupos'!H55=""),"",IF(AND(E55='Fase de Grupos'!F55,G55='Fase de Grupos'!H55),5,IF(SIGN(E55-G55)=SIGN('Fase de Grupos'!F55-'Fase de Grupos'!H55),3,0)))</f>
        <v>0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0</v>
      </c>
      <c r="F56" s="2" t="s">
        <v>6</v>
      </c>
      <c r="G56" s="4">
        <v>1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🟡 Acertou resultado</v>
      </c>
      <c r="J56" s="2">
        <f>IF(OR(E56="",G56="",'Fase de Grupos'!F56="",'Fase de Grupos'!H56=""),"",IF(AND(E56='Fase de Grupos'!F56,G56='Fase de Grupos'!H56),5,IF(SIGN(E56-G56)=SIGN('Fase de Grupos'!F56-'Fase de Grupos'!H56),3,0)))</f>
        <v>3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1</v>
      </c>
      <c r="F57" s="2" t="s">
        <v>6</v>
      </c>
      <c r="G57" s="4">
        <v>3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2</v>
      </c>
      <c r="F58" s="2" t="s">
        <v>6</v>
      </c>
      <c r="G58" s="4">
        <v>1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❌ Errou</v>
      </c>
      <c r="J58" s="2">
        <f>IF(OR(E58="",G58="",'Fase de Grupos'!F58="",'Fase de Grupos'!H58=""),"",IF(AND(E58='Fase de Grupos'!F58,G58='Fase de Grupos'!H58),5,IF(SIGN(E58-G58)=SIGN('Fase de Grupos'!F58-'Fase de Grupos'!H58),3,0)))</f>
        <v>0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0</v>
      </c>
      <c r="F59" s="2" t="s">
        <v>6</v>
      </c>
      <c r="G59" s="4">
        <v>2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🟡 Acertou resultado</v>
      </c>
      <c r="J59" s="2">
        <f>IF(OR(E59="",G59="",'Fase de Grupos'!F59="",'Fase de Grupos'!H59=""),"",IF(AND(E59='Fase de Grupos'!F59,G59='Fase de Grupos'!H59),5,IF(SIGN(E59-G59)=SIGN('Fase de Grupos'!F59-'Fase de Grupos'!H59),3,0)))</f>
        <v>3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1</v>
      </c>
      <c r="F60" s="2" t="s">
        <v>6</v>
      </c>
      <c r="G60" s="4">
        <v>2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❌ Errou</v>
      </c>
      <c r="J60" s="2">
        <f>IF(OR(E60="",G60="",'Fase de Grupos'!F60="",'Fase de Grupos'!H60=""),"",IF(AND(E60='Fase de Grupos'!F60,G60='Fase de Grupos'!H60),5,IF(SIGN(E60-G60)=SIGN('Fase de Grupos'!F60-'Fase de Grupos'!H60),3,0)))</f>
        <v>0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2</v>
      </c>
      <c r="F61" s="2" t="s">
        <v>6</v>
      </c>
      <c r="G61" s="4">
        <v>1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❌ Errou</v>
      </c>
      <c r="J61" s="2">
        <f>IF(OR(E61="",G61="",'Fase de Grupos'!F61="",'Fase de Grupos'!H61=""),"",IF(AND(E61='Fase de Grupos'!F61,G61='Fase de Grupos'!H61),5,IF(SIGN(E61-G61)=SIGN('Fase de Grupos'!F61-'Fase de Grupos'!H61),3,0)))</f>
        <v>0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2</v>
      </c>
      <c r="F62" s="2" t="s">
        <v>6</v>
      </c>
      <c r="G62" s="4">
        <v>2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❌ Errou</v>
      </c>
      <c r="J62" s="2">
        <f>IF(OR(E62="",G62="",'Fase de Grupos'!F62="",'Fase de Grupos'!H62=""),"",IF(AND(E62='Fase de Grupos'!F62,G62='Fase de Grupos'!H62),5,IF(SIGN(E62-G62)=SIGN('Fase de Grupos'!F62-'Fase de Grupos'!H62),3,0)))</f>
        <v>0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1</v>
      </c>
      <c r="F63" s="2" t="s">
        <v>6</v>
      </c>
      <c r="G63" s="4">
        <v>0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🟡 Acertou resultado</v>
      </c>
      <c r="J63" s="2">
        <f>IF(OR(E63="",G63="",'Fase de Grupos'!F63="",'Fase de Grupos'!H63=""),"",IF(AND(E63='Fase de Grupos'!F63,G63='Fase de Grupos'!H63),5,IF(SIGN(E63-G63)=SIGN('Fase de Grupos'!F63-'Fase de Grupos'!H63),3,0)))</f>
        <v>3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2</v>
      </c>
      <c r="F64" s="2" t="s">
        <v>6</v>
      </c>
      <c r="G64" s="4">
        <v>0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❌ Errou</v>
      </c>
      <c r="J64" s="2">
        <f>IF(OR(E64="",G64="",'Fase de Grupos'!F64="",'Fase de Grupos'!H64=""),"",IF(AND(E64='Fase de Grupos'!F64,G64='Fase de Grupos'!H64),5,IF(SIGN(E64-G64)=SIGN('Fase de Grupos'!F64-'Fase de Grupos'!H64),3,0)))</f>
        <v>0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1</v>
      </c>
      <c r="F65" s="2" t="s">
        <v>6</v>
      </c>
      <c r="G65" s="4">
        <v>2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🟡 Acertou resultado</v>
      </c>
      <c r="J65" s="2">
        <f>IF(OR(E65="",G65="",'Fase de Grupos'!F65="",'Fase de Grupos'!H65=""),"",IF(AND(E65='Fase de Grupos'!F65,G65='Fase de Grupos'!H65),5,IF(SIGN(E65-G65)=SIGN('Fase de Grupos'!F65-'Fase de Grupos'!H65),3,0)))</f>
        <v>3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0</v>
      </c>
      <c r="F66" s="2" t="s">
        <v>6</v>
      </c>
      <c r="G66" s="4">
        <v>2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❌ Errou</v>
      </c>
      <c r="J66" s="2">
        <f>IF(OR(E66="",G66="",'Fase de Grupos'!F66="",'Fase de Grupos'!H66=""),"",IF(AND(E66='Fase de Grupos'!F66,G66='Fase de Grupos'!H66),5,IF(SIGN(E66-G66)=SIGN('Fase de Grupos'!F66-'Fase de Grupos'!H66),3,0)))</f>
        <v>0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1</v>
      </c>
      <c r="F67" s="2" t="s">
        <v>6</v>
      </c>
      <c r="G67" s="4">
        <v>1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❌ Errou</v>
      </c>
      <c r="J67" s="2">
        <f>IF(OR(E67="",G67="",'Fase de Grupos'!F67="",'Fase de Grupos'!H67=""),"",IF(AND(E67='Fase de Grupos'!F67,G67='Fase de Grupos'!H67),5,IF(SIGN(E67-G67)=SIGN('Fase de Grupos'!F67-'Fase de Grupos'!H67),3,0)))</f>
        <v>0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0</v>
      </c>
      <c r="F68" s="2" t="s">
        <v>6</v>
      </c>
      <c r="G68" s="4">
        <v>3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2</v>
      </c>
      <c r="F69" s="2" t="s">
        <v>6</v>
      </c>
      <c r="G69" s="4">
        <v>1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✅ Placar exato!</v>
      </c>
      <c r="J69" s="2">
        <f>IF(OR(E69="",G69="",'Fase de Grupos'!F69="",'Fase de Grupos'!H69=""),"",IF(AND(E69='Fase de Grupos'!F69,G69='Fase de Grupos'!H69),5,IF(SIGN(E69-G69)=SIGN('Fase de Grupos'!F69-'Fase de Grupos'!H69),3,0)))</f>
        <v>5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0</v>
      </c>
      <c r="F70" s="2" t="s">
        <v>6</v>
      </c>
      <c r="G70" s="4">
        <v>0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🟡 Acertou resultado</v>
      </c>
      <c r="J70" s="2">
        <f>IF(OR(E70="",G70="",'Fase de Grupos'!F70="",'Fase de Grupos'!H70=""),"",IF(AND(E70='Fase de Grupos'!F70,G70='Fase de Grupos'!H70),5,IF(SIGN(E70-G70)=SIGN('Fase de Grupos'!F70-'Fase de Grupos'!H70),3,0)))</f>
        <v>3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0</v>
      </c>
      <c r="F71" s="2" t="s">
        <v>6</v>
      </c>
      <c r="G71" s="4">
        <v>3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🟡 Acertou resultado</v>
      </c>
      <c r="J71" s="2">
        <f>IF(OR(E71="",G71="",'Fase de Grupos'!F71="",'Fase de Grupos'!H71=""),"",IF(AND(E71='Fase de Grupos'!F71,G71='Fase de Grupos'!H71),5,IF(SIGN(E71-G71)=SIGN('Fase de Grupos'!F71-'Fase de Grupos'!H71),3,0)))</f>
        <v>3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2</v>
      </c>
      <c r="F72" s="2" t="s">
        <v>6</v>
      </c>
      <c r="G72" s="4">
        <v>2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🟡 Acertou resultado</v>
      </c>
      <c r="J72" s="2">
        <f>IF(OR(E72="",G72="",'Fase de Grupos'!F72="",'Fase de Grupos'!H72=""),"",IF(AND(E72='Fase de Grupos'!F72,G72='Fase de Grupos'!H72),5,IF(SIGN(E72-G72)=SIGN('Fase de Grupos'!F72-'Fase de Grupos'!H72),3,0)))</f>
        <v>3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2</v>
      </c>
      <c r="F73" s="2" t="s">
        <v>6</v>
      </c>
      <c r="G73" s="4">
        <v>1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🟡 Acertou resultado</v>
      </c>
      <c r="J73" s="2">
        <f>IF(OR(E73="",G73="",'Fase de Grupos'!F73="",'Fase de Grupos'!H73=""),"",IF(AND(E73='Fase de Grupos'!F73,G73='Fase de Grupos'!H73),5,IF(SIGN(E73-G73)=SIGN('Fase de Grupos'!F73-'Fase de Grupos'!H73),3,0)))</f>
        <v>3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115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6" tint="0.79998168889431442"/>
  </sheetPr>
  <dimension ref="A1:J83"/>
  <sheetViews>
    <sheetView workbookViewId="0">
      <pane ySplit="1" topLeftCell="A2" activePane="bottomLeft" state="frozen"/>
      <selection activeCell="E2" sqref="E2:G13"/>
      <selection pane="bottomLeft" activeCell="E2" sqref="E2:G1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s="23" customFormat="1" x14ac:dyDescent="0.35">
      <c r="A2" s="20">
        <v>1</v>
      </c>
      <c r="B2" s="20" t="s">
        <v>10</v>
      </c>
      <c r="C2" s="20" t="s">
        <v>116</v>
      </c>
      <c r="D2" s="21" t="s">
        <v>13</v>
      </c>
      <c r="E2" s="22">
        <v>10</v>
      </c>
      <c r="F2" s="20" t="s">
        <v>6</v>
      </c>
      <c r="G2" s="22">
        <v>10</v>
      </c>
      <c r="H2" s="21" t="s">
        <v>14</v>
      </c>
      <c r="I2" s="20" t="str">
        <f>IF(OR(E2="",G2="",'Fase de Grupos'!F2="",'Fase de Grupos'!H2=""),"⏳",IF(AND(E2='Fase de Grupos'!F2,G2='Fase de Grupos'!H2),"✅ Placar exato!",IF(SIGN(E2-G2)=SIGN('Fase de Grupos'!F2-'Fase de Grupos'!H2),"🟡 Acertou resultado","❌ Errou")))</f>
        <v>❌ Errou</v>
      </c>
      <c r="J2" s="20">
        <f>IF(OR(E2="",G2="",'Fase de Grupos'!F2="",'Fase de Grupos'!H2=""),"",IF(AND(E2='Fase de Grupos'!F2,G2='Fase de Grupos'!H2),5,IF(SIGN(E2-G2)=SIGN('Fase de Grupos'!F2-'Fase de Grupos'!H2),3,0)))</f>
        <v>0</v>
      </c>
    </row>
    <row r="3" spans="1:10" s="23" customFormat="1" x14ac:dyDescent="0.35">
      <c r="A3" s="20">
        <v>2</v>
      </c>
      <c r="B3" s="20" t="s">
        <v>10</v>
      </c>
      <c r="C3" s="20" t="s">
        <v>116</v>
      </c>
      <c r="D3" s="21" t="s">
        <v>17</v>
      </c>
      <c r="E3" s="22">
        <v>10</v>
      </c>
      <c r="F3" s="20" t="s">
        <v>6</v>
      </c>
      <c r="G3" s="22">
        <v>10</v>
      </c>
      <c r="H3" s="21" t="s">
        <v>18</v>
      </c>
      <c r="I3" s="20" t="str">
        <f>IF(OR(E3="",G3="",'Fase de Grupos'!F3="",'Fase de Grupos'!H3=""),"⏳",IF(AND(E3='Fase de Grupos'!F3,G3='Fase de Grupos'!H3),"✅ Placar exato!",IF(SIGN(E3-G3)=SIGN('Fase de Grupos'!F3-'Fase de Grupos'!H3),"🟡 Acertou resultado","❌ Errou")))</f>
        <v>❌ Errou</v>
      </c>
      <c r="J3" s="20">
        <f>IF(OR(E3="",G3="",'Fase de Grupos'!F3="",'Fase de Grupos'!H3=""),"",IF(AND(E3='Fase de Grupos'!F3,G3='Fase de Grupos'!H3),5,IF(SIGN(E3-G3)=SIGN('Fase de Grupos'!F3-'Fase de Grupos'!H3),3,0)))</f>
        <v>0</v>
      </c>
    </row>
    <row r="4" spans="1:10" s="23" customFormat="1" x14ac:dyDescent="0.35">
      <c r="A4" s="20">
        <v>3</v>
      </c>
      <c r="B4" s="20" t="s">
        <v>20</v>
      </c>
      <c r="C4" s="20" t="s">
        <v>124</v>
      </c>
      <c r="D4" s="21" t="s">
        <v>22</v>
      </c>
      <c r="E4" s="22">
        <v>10</v>
      </c>
      <c r="F4" s="20" t="s">
        <v>6</v>
      </c>
      <c r="G4" s="22">
        <v>11</v>
      </c>
      <c r="H4" s="21" t="s">
        <v>23</v>
      </c>
      <c r="I4" s="20" t="str">
        <f>IF(OR(E4="",G4="",'Fase de Grupos'!F4="",'Fase de Grupos'!H4=""),"⏳",IF(AND(E4='Fase de Grupos'!F4,G4='Fase de Grupos'!H4),"✅ Placar exato!",IF(SIGN(E4-G4)=SIGN('Fase de Grupos'!F4-'Fase de Grupos'!H4),"🟡 Acertou resultado","❌ Errou")))</f>
        <v>❌ Errou</v>
      </c>
      <c r="J4" s="20">
        <f>IF(OR(E4="",G4="",'Fase de Grupos'!F4="",'Fase de Grupos'!H4=""),"",IF(AND(E4='Fase de Grupos'!F4,G4='Fase de Grupos'!H4),5,IF(SIGN(E4-G4)=SIGN('Fase de Grupos'!F4-'Fase de Grupos'!H4),3,0)))</f>
        <v>0</v>
      </c>
    </row>
    <row r="5" spans="1:10" s="23" customFormat="1" x14ac:dyDescent="0.35">
      <c r="A5" s="20">
        <v>4</v>
      </c>
      <c r="B5" s="20" t="s">
        <v>20</v>
      </c>
      <c r="C5" s="20" t="s">
        <v>126</v>
      </c>
      <c r="D5" s="21" t="s">
        <v>27</v>
      </c>
      <c r="E5" s="22">
        <v>10</v>
      </c>
      <c r="F5" s="20" t="s">
        <v>6</v>
      </c>
      <c r="G5" s="22">
        <v>10</v>
      </c>
      <c r="H5" s="21" t="s">
        <v>28</v>
      </c>
      <c r="I5" s="20" t="str">
        <f>IF(OR(E5="",G5="",'Fase de Grupos'!F5="",'Fase de Grupos'!H5=""),"⏳",IF(AND(E5='Fase de Grupos'!F5,G5='Fase de Grupos'!H5),"✅ Placar exato!",IF(SIGN(E5-G5)=SIGN('Fase de Grupos'!F5-'Fase de Grupos'!H5),"🟡 Acertou resultado","❌ Errou")))</f>
        <v>❌ Errou</v>
      </c>
      <c r="J5" s="20">
        <f>IF(OR(E5="",G5="",'Fase de Grupos'!F5="",'Fase de Grupos'!H5=""),"",IF(AND(E5='Fase de Grupos'!F5,G5='Fase de Grupos'!H5),5,IF(SIGN(E5-G5)=SIGN('Fase de Grupos'!F5-'Fase de Grupos'!H5),3,0)))</f>
        <v>0</v>
      </c>
    </row>
    <row r="6" spans="1:10" s="23" customFormat="1" x14ac:dyDescent="0.35">
      <c r="A6" s="20">
        <v>5</v>
      </c>
      <c r="B6" s="20" t="s">
        <v>30</v>
      </c>
      <c r="C6" s="20" t="s">
        <v>124</v>
      </c>
      <c r="D6" s="21" t="s">
        <v>31</v>
      </c>
      <c r="E6" s="22">
        <v>10</v>
      </c>
      <c r="F6" s="20" t="s">
        <v>6</v>
      </c>
      <c r="G6" s="22">
        <v>11</v>
      </c>
      <c r="H6" s="21" t="s">
        <v>32</v>
      </c>
      <c r="I6" s="20" t="str">
        <f>IF(OR(E6="",G6="",'Fase de Grupos'!F6="",'Fase de Grupos'!H6=""),"⏳",IF(AND(E6='Fase de Grupos'!F6,G6='Fase de Grupos'!H6),"✅ Placar exato!",IF(SIGN(E6-G6)=SIGN('Fase de Grupos'!F6-'Fase de Grupos'!H6),"🟡 Acertou resultado","❌ Errou")))</f>
        <v>❌ Errou</v>
      </c>
      <c r="J6" s="20">
        <f>IF(OR(E6="",G6="",'Fase de Grupos'!F6="",'Fase de Grupos'!H6=""),"",IF(AND(E6='Fase de Grupos'!F6,G6='Fase de Grupos'!H6),5,IF(SIGN(E6-G6)=SIGN('Fase de Grupos'!F6-'Fase de Grupos'!H6),3,0)))</f>
        <v>0</v>
      </c>
    </row>
    <row r="7" spans="1:10" s="23" customFormat="1" x14ac:dyDescent="0.35">
      <c r="A7" s="20">
        <v>6</v>
      </c>
      <c r="B7" s="20" t="s">
        <v>30</v>
      </c>
      <c r="C7" s="20" t="s">
        <v>125</v>
      </c>
      <c r="D7" s="21" t="s">
        <v>36</v>
      </c>
      <c r="E7" s="22">
        <v>10</v>
      </c>
      <c r="F7" s="20" t="s">
        <v>6</v>
      </c>
      <c r="G7" s="22">
        <v>11</v>
      </c>
      <c r="H7" s="21" t="s">
        <v>37</v>
      </c>
      <c r="I7" s="20" t="str">
        <f>IF(OR(E7="",G7="",'Fase de Grupos'!F7="",'Fase de Grupos'!H7=""),"⏳",IF(AND(E7='Fase de Grupos'!F7,G7='Fase de Grupos'!H7),"✅ Placar exato!",IF(SIGN(E7-G7)=SIGN('Fase de Grupos'!F7-'Fase de Grupos'!H7),"🟡 Acertou resultado","❌ Errou")))</f>
        <v>❌ Errou</v>
      </c>
      <c r="J7" s="20">
        <f>IF(OR(E7="",G7="",'Fase de Grupos'!F7="",'Fase de Grupos'!H7=""),"",IF(AND(E7='Fase de Grupos'!F7,G7='Fase de Grupos'!H7),5,IF(SIGN(E7-G7)=SIGN('Fase de Grupos'!F7-'Fase de Grupos'!H7),3,0)))</f>
        <v>0</v>
      </c>
    </row>
    <row r="8" spans="1:10" s="23" customFormat="1" x14ac:dyDescent="0.35">
      <c r="A8" s="20">
        <v>7</v>
      </c>
      <c r="B8" s="20" t="s">
        <v>30</v>
      </c>
      <c r="C8" s="20" t="s">
        <v>125</v>
      </c>
      <c r="D8" s="21" t="s">
        <v>39</v>
      </c>
      <c r="E8" s="22">
        <v>10</v>
      </c>
      <c r="F8" s="20" t="s">
        <v>6</v>
      </c>
      <c r="G8" s="22">
        <v>10</v>
      </c>
      <c r="H8" s="21" t="s">
        <v>40</v>
      </c>
      <c r="I8" s="20" t="str">
        <f>IF(OR(E8="",G8="",'Fase de Grupos'!F8="",'Fase de Grupos'!H8=""),"⏳",IF(AND(E8='Fase de Grupos'!F8,G8='Fase de Grupos'!H8),"✅ Placar exato!",IF(SIGN(E8-G8)=SIGN('Fase de Grupos'!F8-'Fase de Grupos'!H8),"🟡 Acertou resultado","❌ Errou")))</f>
        <v>❌ Errou</v>
      </c>
      <c r="J8" s="20">
        <f>IF(OR(E8="",G8="",'Fase de Grupos'!F8="",'Fase de Grupos'!H8=""),"",IF(AND(E8='Fase de Grupos'!F8,G8='Fase de Grupos'!H8),5,IF(SIGN(E8-G8)=SIGN('Fase de Grupos'!F8-'Fase de Grupos'!H8),3,0)))</f>
        <v>0</v>
      </c>
    </row>
    <row r="9" spans="1:10" s="23" customFormat="1" x14ac:dyDescent="0.35">
      <c r="A9" s="20">
        <v>8</v>
      </c>
      <c r="B9" s="20" t="s">
        <v>42</v>
      </c>
      <c r="C9" s="20" t="s">
        <v>126</v>
      </c>
      <c r="D9" s="21" t="s">
        <v>44</v>
      </c>
      <c r="E9" s="22">
        <v>10</v>
      </c>
      <c r="F9" s="20" t="s">
        <v>6</v>
      </c>
      <c r="G9" s="22">
        <v>10</v>
      </c>
      <c r="H9" s="21" t="s">
        <v>45</v>
      </c>
      <c r="I9" s="20" t="str">
        <f>IF(OR(E9="",G9="",'Fase de Grupos'!F9="",'Fase de Grupos'!H9=""),"⏳",IF(AND(E9='Fase de Grupos'!F9,G9='Fase de Grupos'!H9),"✅ Placar exato!",IF(SIGN(E9-G9)=SIGN('Fase de Grupos'!F9-'Fase de Grupos'!H9),"🟡 Acertou resultado","❌ Errou")))</f>
        <v>❌ Errou</v>
      </c>
      <c r="J9" s="20">
        <f>IF(OR(E9="",G9="",'Fase de Grupos'!F9="",'Fase de Grupos'!H9=""),"",IF(AND(E9='Fase de Grupos'!F9,G9='Fase de Grupos'!H9),5,IF(SIGN(E9-G9)=SIGN('Fase de Grupos'!F9-'Fase de Grupos'!H9),3,0)))</f>
        <v>0</v>
      </c>
    </row>
    <row r="10" spans="1:10" s="23" customFormat="1" x14ac:dyDescent="0.35">
      <c r="A10" s="20">
        <v>9</v>
      </c>
      <c r="B10" s="20" t="s">
        <v>42</v>
      </c>
      <c r="C10" s="20" t="s">
        <v>127</v>
      </c>
      <c r="D10" s="21" t="s">
        <v>49</v>
      </c>
      <c r="E10" s="22">
        <v>10</v>
      </c>
      <c r="F10" s="20" t="s">
        <v>6</v>
      </c>
      <c r="G10" s="22">
        <v>10</v>
      </c>
      <c r="H10" s="21" t="s">
        <v>50</v>
      </c>
      <c r="I10" s="20" t="str">
        <f>IF(OR(E10="",G10="",'Fase de Grupos'!F10="",'Fase de Grupos'!H10=""),"⏳",IF(AND(E10='Fase de Grupos'!F10,G10='Fase de Grupos'!H10),"✅ Placar exato!",IF(SIGN(E10-G10)=SIGN('Fase de Grupos'!F10-'Fase de Grupos'!H10),"🟡 Acertou resultado","❌ Errou")))</f>
        <v>❌ Errou</v>
      </c>
      <c r="J10" s="20">
        <f>IF(OR(E10="",G10="",'Fase de Grupos'!F10="",'Fase de Grupos'!H10=""),"",IF(AND(E10='Fase de Grupos'!F10,G10='Fase de Grupos'!H10),5,IF(SIGN(E10-G10)=SIGN('Fase de Grupos'!F10-'Fase de Grupos'!H10),3,0)))</f>
        <v>0</v>
      </c>
    </row>
    <row r="11" spans="1:10" s="23" customFormat="1" x14ac:dyDescent="0.35">
      <c r="A11" s="20">
        <v>10</v>
      </c>
      <c r="B11" s="20" t="s">
        <v>42</v>
      </c>
      <c r="C11" s="20" t="s">
        <v>128</v>
      </c>
      <c r="D11" s="21" t="s">
        <v>54</v>
      </c>
      <c r="E11" s="22">
        <v>10</v>
      </c>
      <c r="F11" s="20" t="s">
        <v>6</v>
      </c>
      <c r="G11" s="22">
        <v>11</v>
      </c>
      <c r="H11" s="21" t="s">
        <v>55</v>
      </c>
      <c r="I11" s="20" t="str">
        <f>IF(OR(E11="",G11="",'Fase de Grupos'!F11="",'Fase de Grupos'!H11=""),"⏳",IF(AND(E11='Fase de Grupos'!F11,G11='Fase de Grupos'!H11),"✅ Placar exato!",IF(SIGN(E11-G11)=SIGN('Fase de Grupos'!F11-'Fase de Grupos'!H11),"🟡 Acertou resultado","❌ Errou")))</f>
        <v>❌ Errou</v>
      </c>
      <c r="J11" s="20">
        <f>IF(OR(E11="",G11="",'Fase de Grupos'!F11="",'Fase de Grupos'!H11=""),"",IF(AND(E11='Fase de Grupos'!F11,G11='Fase de Grupos'!H11),5,IF(SIGN(E11-G11)=SIGN('Fase de Grupos'!F11-'Fase de Grupos'!H11),3,0)))</f>
        <v>0</v>
      </c>
    </row>
    <row r="12" spans="1:10" s="23" customFormat="1" x14ac:dyDescent="0.35">
      <c r="A12" s="20">
        <v>11</v>
      </c>
      <c r="B12" s="20" t="s">
        <v>42</v>
      </c>
      <c r="C12" s="20" t="s">
        <v>127</v>
      </c>
      <c r="D12" s="21" t="s">
        <v>58</v>
      </c>
      <c r="E12" s="22">
        <v>10</v>
      </c>
      <c r="F12" s="20" t="s">
        <v>6</v>
      </c>
      <c r="G12" s="22">
        <v>10</v>
      </c>
      <c r="H12" s="21" t="s">
        <v>59</v>
      </c>
      <c r="I12" s="20" t="str">
        <f>IF(OR(E12="",G12="",'Fase de Grupos'!F12="",'Fase de Grupos'!H12=""),"⏳",IF(AND(E12='Fase de Grupos'!F12,G12='Fase de Grupos'!H12),"✅ Placar exato!",IF(SIGN(E12-G12)=SIGN('Fase de Grupos'!F12-'Fase de Grupos'!H12),"🟡 Acertou resultado","❌ Errou")))</f>
        <v>❌ Errou</v>
      </c>
      <c r="J12" s="20">
        <f>IF(OR(E12="",G12="",'Fase de Grupos'!F12="",'Fase de Grupos'!H12=""),"",IF(AND(E12='Fase de Grupos'!F12,G12='Fase de Grupos'!H12),5,IF(SIGN(E12-G12)=SIGN('Fase de Grupos'!F12-'Fase de Grupos'!H12),3,0)))</f>
        <v>0</v>
      </c>
    </row>
    <row r="13" spans="1:10" s="23" customFormat="1" x14ac:dyDescent="0.35">
      <c r="A13" s="20">
        <v>12</v>
      </c>
      <c r="B13" s="20" t="s">
        <v>42</v>
      </c>
      <c r="C13" s="20" t="s">
        <v>128</v>
      </c>
      <c r="D13" s="21" t="s">
        <v>61</v>
      </c>
      <c r="E13" s="22">
        <v>10</v>
      </c>
      <c r="F13" s="20" t="s">
        <v>6</v>
      </c>
      <c r="G13" s="22">
        <v>10</v>
      </c>
      <c r="H13" s="21" t="s">
        <v>62</v>
      </c>
      <c r="I13" s="20" t="str">
        <f>IF(OR(E13="",G13="",'Fase de Grupos'!F13="",'Fase de Grupos'!H13=""),"⏳",IF(AND(E13='Fase de Grupos'!F13,G13='Fase de Grupos'!H13),"✅ Placar exato!",IF(SIGN(E13-G13)=SIGN('Fase de Grupos'!F13-'Fase de Grupos'!H13),"🟡 Acertou resultado","❌ Errou")))</f>
        <v>❌ Errou</v>
      </c>
      <c r="J13" s="20">
        <f>IF(OR(E13="",G13="",'Fase de Grupos'!F13="",'Fase de Grupos'!H13=""),"",IF(AND(E13='Fase de Grupos'!F13,G13='Fase de Grupos'!H13),5,IF(SIGN(E13-G13)=SIGN('Fase de Grupos'!F13-'Fase de Grupos'!H13),3,0)))</f>
        <v>0</v>
      </c>
    </row>
    <row r="14" spans="1:10" s="23" customFormat="1" x14ac:dyDescent="0.35">
      <c r="A14" s="20">
        <v>13</v>
      </c>
      <c r="B14" s="20" t="s">
        <v>64</v>
      </c>
      <c r="C14" s="20" t="s">
        <v>130</v>
      </c>
      <c r="D14" s="21" t="s">
        <v>67</v>
      </c>
      <c r="E14" s="22">
        <v>5</v>
      </c>
      <c r="F14" s="20" t="s">
        <v>6</v>
      </c>
      <c r="G14" s="22">
        <v>1</v>
      </c>
      <c r="H14" s="21" t="s">
        <v>68</v>
      </c>
      <c r="I14" s="20" t="str">
        <f>IF(OR(E14="",G14="",'Fase de Grupos'!F14="",'Fase de Grupos'!H14=""),"⏳",IF(AND(E14='Fase de Grupos'!F14,G14='Fase de Grupos'!H14),"✅ Placar exato!",IF(SIGN(E14-G14)=SIGN('Fase de Grupos'!F14-'Fase de Grupos'!H14),"🟡 Acertou resultado","❌ Errou")))</f>
        <v>❌ Errou</v>
      </c>
      <c r="J14" s="20">
        <f>IF(OR(E14="",G14="",'Fase de Grupos'!F14="",'Fase de Grupos'!H14=""),"",IF(AND(E14='Fase de Grupos'!F14,G14='Fase de Grupos'!H14),5,IF(SIGN(E14-G14)=SIGN('Fase de Grupos'!F14-'Fase de Grupos'!H14),3,0)))</f>
        <v>0</v>
      </c>
    </row>
    <row r="15" spans="1:10" s="23" customFormat="1" x14ac:dyDescent="0.35">
      <c r="A15" s="20">
        <v>14</v>
      </c>
      <c r="B15" s="20" t="s">
        <v>64</v>
      </c>
      <c r="C15" s="20" t="s">
        <v>129</v>
      </c>
      <c r="D15" s="21" t="s">
        <v>71</v>
      </c>
      <c r="E15" s="22">
        <v>1</v>
      </c>
      <c r="F15" s="20" t="s">
        <v>6</v>
      </c>
      <c r="G15" s="22">
        <v>2</v>
      </c>
      <c r="H15" s="21" t="s">
        <v>72</v>
      </c>
      <c r="I15" s="20" t="str">
        <f>IF(OR(E15="",G15="",'Fase de Grupos'!F15="",'Fase de Grupos'!H15=""),"⏳",IF(AND(E15='Fase de Grupos'!F15,G15='Fase de Grupos'!H15),"✅ Placar exato!",IF(SIGN(E15-G15)=SIGN('Fase de Grupos'!F15-'Fase de Grupos'!H15),"🟡 Acertou resultado","❌ Errou")))</f>
        <v>❌ Errou</v>
      </c>
      <c r="J15" s="20">
        <f>IF(OR(E15="",G15="",'Fase de Grupos'!F15="",'Fase de Grupos'!H15=""),"",IF(AND(E15='Fase de Grupos'!F15,G15='Fase de Grupos'!H15),5,IF(SIGN(E15-G15)=SIGN('Fase de Grupos'!F15-'Fase de Grupos'!H15),3,0)))</f>
        <v>0</v>
      </c>
    </row>
    <row r="16" spans="1:10" s="23" customFormat="1" x14ac:dyDescent="0.35">
      <c r="A16" s="20">
        <v>15</v>
      </c>
      <c r="B16" s="20" t="s">
        <v>64</v>
      </c>
      <c r="C16" s="20" t="s">
        <v>130</v>
      </c>
      <c r="D16" s="21" t="s">
        <v>74</v>
      </c>
      <c r="E16" s="22">
        <v>1</v>
      </c>
      <c r="F16" s="20" t="s">
        <v>6</v>
      </c>
      <c r="G16" s="22">
        <v>0</v>
      </c>
      <c r="H16" s="21" t="s">
        <v>75</v>
      </c>
      <c r="I16" s="20" t="str">
        <f>IF(OR(E16="",G16="",'Fase de Grupos'!F16="",'Fase de Grupos'!H16=""),"⏳",IF(AND(E16='Fase de Grupos'!F16,G16='Fase de Grupos'!H16),"✅ Placar exato!",IF(SIGN(E16-G16)=SIGN('Fase de Grupos'!F16-'Fase de Grupos'!H16),"🟡 Acertou resultado","❌ Errou")))</f>
        <v>❌ Errou</v>
      </c>
      <c r="J16" s="20">
        <f>IF(OR(E16="",G16="",'Fase de Grupos'!F16="",'Fase de Grupos'!H16=""),"",IF(AND(E16='Fase de Grupos'!F16,G16='Fase de Grupos'!H16),5,IF(SIGN(E16-G16)=SIGN('Fase de Grupos'!F16-'Fase de Grupos'!H16),3,0)))</f>
        <v>0</v>
      </c>
    </row>
    <row r="17" spans="1:10" s="23" customFormat="1" x14ac:dyDescent="0.35">
      <c r="A17" s="20">
        <v>16</v>
      </c>
      <c r="B17" s="20" t="s">
        <v>64</v>
      </c>
      <c r="C17" s="20" t="s">
        <v>129</v>
      </c>
      <c r="D17" s="21" t="s">
        <v>77</v>
      </c>
      <c r="E17" s="22">
        <v>0</v>
      </c>
      <c r="F17" s="20" t="s">
        <v>6</v>
      </c>
      <c r="G17" s="22">
        <v>1</v>
      </c>
      <c r="H17" s="21" t="s">
        <v>78</v>
      </c>
      <c r="I17" s="20" t="str">
        <f>IF(OR(E17="",G17="",'Fase de Grupos'!F17="",'Fase de Grupos'!H17=""),"⏳",IF(AND(E17='Fase de Grupos'!F17,G17='Fase de Grupos'!H17),"✅ Placar exato!",IF(SIGN(E17-G17)=SIGN('Fase de Grupos'!F17-'Fase de Grupos'!H17),"🟡 Acertou resultado","❌ Errou")))</f>
        <v>❌ Errou</v>
      </c>
      <c r="J17" s="20">
        <f>IF(OR(E17="",G17="",'Fase de Grupos'!F17="",'Fase de Grupos'!H17=""),"",IF(AND(E17='Fase de Grupos'!F17,G17='Fase de Grupos'!H17),5,IF(SIGN(E17-G17)=SIGN('Fase de Grupos'!F17-'Fase de Grupos'!H17),3,0)))</f>
        <v>0</v>
      </c>
    </row>
    <row r="18" spans="1:10" x14ac:dyDescent="0.35">
      <c r="A18" s="2">
        <v>17</v>
      </c>
      <c r="B18" s="2" t="s">
        <v>79</v>
      </c>
      <c r="C18" s="2" t="s">
        <v>131</v>
      </c>
      <c r="D18" s="3" t="s">
        <v>81</v>
      </c>
      <c r="E18" s="4">
        <v>2</v>
      </c>
      <c r="F18" s="2" t="s">
        <v>6</v>
      </c>
      <c r="G18" s="4">
        <v>2</v>
      </c>
      <c r="H18" s="3" t="s">
        <v>82</v>
      </c>
      <c r="I18" s="2" t="str">
        <f>IF(OR(E18="",G18="",'Fase de Grupos'!F18="",'Fase de Grupos'!H18=""),"⏳",IF(AND(E18='Fase de Grupos'!F18,G18='Fase de Grupos'!H18),"✅ Placar exato!",IF(SIGN(E18-G18)=SIGN('Fase de Grupos'!F18-'Fase de Grupos'!H18),"🟡 Acertou resultado","❌ Errou")))</f>
        <v>❌ Errou</v>
      </c>
      <c r="J18" s="2">
        <f>IF(OR(E18="",G18="",'Fase de Grupos'!F18="",'Fase de Grupos'!H18=""),"",IF(AND(E18='Fase de Grupos'!F18,G18='Fase de Grupos'!H18),5,IF(SIGN(E18-G18)=SIGN('Fase de Grupos'!F18-'Fase de Grupos'!H18),3,0)))</f>
        <v>0</v>
      </c>
    </row>
    <row r="19" spans="1:10" x14ac:dyDescent="0.35">
      <c r="A19" s="2">
        <v>18</v>
      </c>
      <c r="B19" s="2" t="s">
        <v>79</v>
      </c>
      <c r="C19" s="2" t="s">
        <v>131</v>
      </c>
      <c r="D19" s="3" t="s">
        <v>83</v>
      </c>
      <c r="E19" s="4">
        <v>1</v>
      </c>
      <c r="F19" s="2" t="s">
        <v>6</v>
      </c>
      <c r="G19" s="4">
        <v>2</v>
      </c>
      <c r="H19" s="3" t="s">
        <v>84</v>
      </c>
      <c r="I19" s="2" t="str">
        <f>IF(OR(E19="",G19="",'Fase de Grupos'!F19="",'Fase de Grupos'!H19=""),"⏳",IF(AND(E19='Fase de Grupos'!F19,G19='Fase de Grupos'!H19),"✅ Placar exato!",IF(SIGN(E19-G19)=SIGN('Fase de Grupos'!F19-'Fase de Grupos'!H19),"🟡 Acertou resultado","❌ Errou")))</f>
        <v>🟡 Acertou resultado</v>
      </c>
      <c r="J19" s="2">
        <f>IF(OR(E19="",G19="",'Fase de Grupos'!F19="",'Fase de Grupos'!H19=""),"",IF(AND(E19='Fase de Grupos'!F19,G19='Fase de Grupos'!H19),5,IF(SIGN(E19-G19)=SIGN('Fase de Grupos'!F19-'Fase de Grupos'!H19),3,0)))</f>
        <v>3</v>
      </c>
    </row>
    <row r="20" spans="1:10" x14ac:dyDescent="0.35">
      <c r="A20" s="2">
        <v>19</v>
      </c>
      <c r="B20" s="2" t="s">
        <v>79</v>
      </c>
      <c r="C20" s="2" t="s">
        <v>132</v>
      </c>
      <c r="D20" s="3" t="s">
        <v>86</v>
      </c>
      <c r="E20" s="4">
        <v>2</v>
      </c>
      <c r="F20" s="2" t="s">
        <v>6</v>
      </c>
      <c r="G20" s="4">
        <v>2</v>
      </c>
      <c r="H20" s="3" t="s">
        <v>87</v>
      </c>
      <c r="I20" s="2" t="str">
        <f>IF(OR(E20="",G20="",'Fase de Grupos'!F20="",'Fase de Grupos'!H20=""),"⏳",IF(AND(E20='Fase de Grupos'!F20,G20='Fase de Grupos'!H20),"✅ Placar exato!",IF(SIGN(E20-G20)=SIGN('Fase de Grupos'!F20-'Fase de Grupos'!H20),"🟡 Acertou resultado","❌ Errou")))</f>
        <v>❌ Errou</v>
      </c>
      <c r="J20" s="2">
        <f>IF(OR(E20="",G20="",'Fase de Grupos'!F20="",'Fase de Grupos'!H20=""),"",IF(AND(E20='Fase de Grupos'!F20,G20='Fase de Grupos'!H20),5,IF(SIGN(E20-G20)=SIGN('Fase de Grupos'!F20-'Fase de Grupos'!H20),3,0)))</f>
        <v>0</v>
      </c>
    </row>
    <row r="21" spans="1:10" x14ac:dyDescent="0.35">
      <c r="A21" s="2">
        <v>20</v>
      </c>
      <c r="B21" s="2" t="s">
        <v>89</v>
      </c>
      <c r="C21" s="2" t="s">
        <v>132</v>
      </c>
      <c r="D21" s="3" t="s">
        <v>90</v>
      </c>
      <c r="E21" s="4">
        <v>1</v>
      </c>
      <c r="F21" s="2" t="s">
        <v>6</v>
      </c>
      <c r="G21" s="4">
        <v>0</v>
      </c>
      <c r="H21" s="3" t="s">
        <v>91</v>
      </c>
      <c r="I21" s="2" t="str">
        <f>IF(OR(E21="",G21="",'Fase de Grupos'!F21="",'Fase de Grupos'!H21=""),"⏳",IF(AND(E21='Fase de Grupos'!F21,G21='Fase de Grupos'!H21),"✅ Placar exato!",IF(SIGN(E21-G21)=SIGN('Fase de Grupos'!F21-'Fase de Grupos'!H21),"🟡 Acertou resultado","❌ Errou")))</f>
        <v>🟡 Acertou resultado</v>
      </c>
      <c r="J21" s="2">
        <f>IF(OR(E21="",G21="",'Fase de Grupos'!F21="",'Fase de Grupos'!H21=""),"",IF(AND(E21='Fase de Grupos'!F21,G21='Fase de Grupos'!H21),5,IF(SIGN(E21-G21)=SIGN('Fase de Grupos'!F21-'Fase de Grupos'!H21),3,0)))</f>
        <v>3</v>
      </c>
    </row>
    <row r="22" spans="1:10" x14ac:dyDescent="0.35">
      <c r="A22" s="2">
        <v>21</v>
      </c>
      <c r="B22" s="2" t="s">
        <v>89</v>
      </c>
      <c r="C22" s="2" t="s">
        <v>133</v>
      </c>
      <c r="D22" s="3" t="s">
        <v>93</v>
      </c>
      <c r="E22" s="4">
        <v>3</v>
      </c>
      <c r="F22" s="2" t="s">
        <v>6</v>
      </c>
      <c r="G22" s="4">
        <v>0</v>
      </c>
      <c r="H22" s="3" t="s">
        <v>94</v>
      </c>
      <c r="I22" s="2" t="str">
        <f>IF(OR(E22="",G22="",'Fase de Grupos'!F22="",'Fase de Grupos'!H22=""),"⏳",IF(AND(E22='Fase de Grupos'!F22,G22='Fase de Grupos'!H22),"✅ Placar exato!",IF(SIGN(E22-G22)=SIGN('Fase de Grupos'!F22-'Fase de Grupos'!H22),"🟡 Acertou resultado","❌ Errou")))</f>
        <v>❌ Errou</v>
      </c>
      <c r="J22" s="2">
        <f>IF(OR(E22="",G22="",'Fase de Grupos'!F22="",'Fase de Grupos'!H22=""),"",IF(AND(E22='Fase de Grupos'!F22,G22='Fase de Grupos'!H22),5,IF(SIGN(E22-G22)=SIGN('Fase de Grupos'!F22-'Fase de Grupos'!H22),3,0)))</f>
        <v>0</v>
      </c>
    </row>
    <row r="23" spans="1:10" x14ac:dyDescent="0.35">
      <c r="A23" s="2">
        <v>22</v>
      </c>
      <c r="B23" s="2" t="s">
        <v>89</v>
      </c>
      <c r="C23" s="2" t="s">
        <v>134</v>
      </c>
      <c r="D23" s="3" t="s">
        <v>96</v>
      </c>
      <c r="E23" s="4">
        <v>0</v>
      </c>
      <c r="F23" s="2" t="s">
        <v>6</v>
      </c>
      <c r="G23" s="4">
        <v>0</v>
      </c>
      <c r="H23" s="3" t="s">
        <v>97</v>
      </c>
      <c r="I23" s="2" t="str">
        <f>IF(OR(E23="",G23="",'Fase de Grupos'!F23="",'Fase de Grupos'!H23=""),"⏳",IF(AND(E23='Fase de Grupos'!F23,G23='Fase de Grupos'!H23),"✅ Placar exato!",IF(SIGN(E23-G23)=SIGN('Fase de Grupos'!F23-'Fase de Grupos'!H23),"🟡 Acertou resultado","❌ Errou")))</f>
        <v>❌ Errou</v>
      </c>
      <c r="J23" s="2">
        <f>IF(OR(E23="",G23="",'Fase de Grupos'!F23="",'Fase de Grupos'!H23=""),"",IF(AND(E23='Fase de Grupos'!F23,G23='Fase de Grupos'!H23),5,IF(SIGN(E23-G23)=SIGN('Fase de Grupos'!F23-'Fase de Grupos'!H23),3,0)))</f>
        <v>0</v>
      </c>
    </row>
    <row r="24" spans="1:10" x14ac:dyDescent="0.35">
      <c r="A24" s="2">
        <v>23</v>
      </c>
      <c r="B24" s="2" t="s">
        <v>89</v>
      </c>
      <c r="C24" s="2" t="s">
        <v>134</v>
      </c>
      <c r="D24" s="3" t="s">
        <v>98</v>
      </c>
      <c r="E24" s="4">
        <v>2</v>
      </c>
      <c r="F24" s="2" t="s">
        <v>6</v>
      </c>
      <c r="G24" s="4">
        <v>0</v>
      </c>
      <c r="H24" s="3" t="s">
        <v>99</v>
      </c>
      <c r="I24" s="2" t="str">
        <f>IF(OR(E24="",G24="",'Fase de Grupos'!F24="",'Fase de Grupos'!H24=""),"⏳",IF(AND(E24='Fase de Grupos'!F24,G24='Fase de Grupos'!H24),"✅ Placar exato!",IF(SIGN(E24-G24)=SIGN('Fase de Grupos'!F24-'Fase de Grupos'!H24),"🟡 Acertou resultado","❌ Errou")))</f>
        <v>🟡 Acertou resultado</v>
      </c>
      <c r="J24" s="2">
        <f>IF(OR(E24="",G24="",'Fase de Grupos'!F24="",'Fase de Grupos'!H24=""),"",IF(AND(E24='Fase de Grupos'!F24,G24='Fase de Grupos'!H24),5,IF(SIGN(E24-G24)=SIGN('Fase de Grupos'!F24-'Fase de Grupos'!H24),3,0)))</f>
        <v>3</v>
      </c>
    </row>
    <row r="25" spans="1:10" x14ac:dyDescent="0.35">
      <c r="A25" s="2">
        <v>24</v>
      </c>
      <c r="B25" s="2" t="s">
        <v>89</v>
      </c>
      <c r="C25" s="2" t="s">
        <v>133</v>
      </c>
      <c r="D25" s="3" t="s">
        <v>100</v>
      </c>
      <c r="E25" s="4">
        <v>0</v>
      </c>
      <c r="F25" s="2" t="s">
        <v>6</v>
      </c>
      <c r="G25" s="4">
        <v>3</v>
      </c>
      <c r="H25" s="3" t="s">
        <v>101</v>
      </c>
      <c r="I25" s="2" t="str">
        <f>IF(OR(E25="",G25="",'Fase de Grupos'!F25="",'Fase de Grupos'!H25=""),"⏳",IF(AND(E25='Fase de Grupos'!F25,G25='Fase de Grupos'!H25),"✅ Placar exato!",IF(SIGN(E25-G25)=SIGN('Fase de Grupos'!F25-'Fase de Grupos'!H25),"🟡 Acertou resultado","❌ Errou")))</f>
        <v>🟡 Acertou resultado</v>
      </c>
      <c r="J25" s="2">
        <f>IF(OR(E25="",G25="",'Fase de Grupos'!F25="",'Fase de Grupos'!H25=""),"",IF(AND(E25='Fase de Grupos'!F25,G25='Fase de Grupos'!H25),5,IF(SIGN(E25-G25)=SIGN('Fase de Grupos'!F25-'Fase de Grupos'!H25),3,0)))</f>
        <v>3</v>
      </c>
    </row>
    <row r="26" spans="1:10" x14ac:dyDescent="0.35">
      <c r="A26" s="2">
        <v>25</v>
      </c>
      <c r="B26" s="2" t="s">
        <v>102</v>
      </c>
      <c r="C26" s="2" t="s">
        <v>116</v>
      </c>
      <c r="D26" s="3" t="s">
        <v>18</v>
      </c>
      <c r="E26" s="4">
        <v>1</v>
      </c>
      <c r="F26" s="2" t="s">
        <v>6</v>
      </c>
      <c r="G26" s="4">
        <v>0</v>
      </c>
      <c r="H26" s="3" t="s">
        <v>14</v>
      </c>
      <c r="I26" s="2" t="str">
        <f>IF(OR(E26="",G26="",'Fase de Grupos'!F26="",'Fase de Grupos'!H26=""),"⏳",IF(AND(E26='Fase de Grupos'!F26,G26='Fase de Grupos'!H26),"✅ Placar exato!",IF(SIGN(E26-G26)=SIGN('Fase de Grupos'!F26-'Fase de Grupos'!H26),"🟡 Acertou resultado","❌ Errou")))</f>
        <v>❌ Errou</v>
      </c>
      <c r="J26" s="2">
        <f>IF(OR(E26="",G26="",'Fase de Grupos'!F26="",'Fase de Grupos'!H26=""),"",IF(AND(E26='Fase de Grupos'!F26,G26='Fase de Grupos'!H26),5,IF(SIGN(E26-G26)=SIGN('Fase de Grupos'!F26-'Fase de Grupos'!H26),3,0)))</f>
        <v>0</v>
      </c>
    </row>
    <row r="27" spans="1:10" x14ac:dyDescent="0.35">
      <c r="A27" s="2">
        <v>26</v>
      </c>
      <c r="B27" s="2" t="s">
        <v>102</v>
      </c>
      <c r="C27" s="2" t="s">
        <v>124</v>
      </c>
      <c r="D27" s="3" t="s">
        <v>32</v>
      </c>
      <c r="E27" s="4">
        <v>1</v>
      </c>
      <c r="F27" s="2" t="s">
        <v>6</v>
      </c>
      <c r="G27" s="4">
        <v>1</v>
      </c>
      <c r="H27" s="3" t="s">
        <v>23</v>
      </c>
      <c r="I27" s="2" t="str">
        <f>IF(OR(E27="",G27="",'Fase de Grupos'!F27="",'Fase de Grupos'!H27=""),"⏳",IF(AND(E27='Fase de Grupos'!F27,G27='Fase de Grupos'!H27),"✅ Placar exato!",IF(SIGN(E27-G27)=SIGN('Fase de Grupos'!F27-'Fase de Grupos'!H27),"🟡 Acertou resultado","❌ Errou")))</f>
        <v>❌ Errou</v>
      </c>
      <c r="J27" s="2">
        <f>IF(OR(E27="",G27="",'Fase de Grupos'!F27="",'Fase de Grupos'!H27=""),"",IF(AND(E27='Fase de Grupos'!F27,G27='Fase de Grupos'!H27),5,IF(SIGN(E27-G27)=SIGN('Fase de Grupos'!F27-'Fase de Grupos'!H27),3,0)))</f>
        <v>0</v>
      </c>
    </row>
    <row r="28" spans="1:10" x14ac:dyDescent="0.35">
      <c r="A28" s="2">
        <v>27</v>
      </c>
      <c r="B28" s="2" t="s">
        <v>102</v>
      </c>
      <c r="C28" s="2" t="s">
        <v>124</v>
      </c>
      <c r="D28" s="3" t="s">
        <v>22</v>
      </c>
      <c r="E28" s="4">
        <v>0</v>
      </c>
      <c r="F28" s="2" t="s">
        <v>6</v>
      </c>
      <c r="G28" s="4">
        <v>1</v>
      </c>
      <c r="H28" s="3" t="s">
        <v>31</v>
      </c>
      <c r="I28" s="2" t="str">
        <f>IF(OR(E28="",G28="",'Fase de Grupos'!F28="",'Fase de Grupos'!H28=""),"⏳",IF(AND(E28='Fase de Grupos'!F28,G28='Fase de Grupos'!H28),"✅ Placar exato!",IF(SIGN(E28-G28)=SIGN('Fase de Grupos'!F28-'Fase de Grupos'!H28),"🟡 Acertou resultado","❌ Errou")))</f>
        <v>❌ Errou</v>
      </c>
      <c r="J28" s="2">
        <f>IF(OR(E28="",G28="",'Fase de Grupos'!F28="",'Fase de Grupos'!H28=""),"",IF(AND(E28='Fase de Grupos'!F28,G28='Fase de Grupos'!H28),5,IF(SIGN(E28-G28)=SIGN('Fase de Grupos'!F28-'Fase de Grupos'!H28),3,0)))</f>
        <v>0</v>
      </c>
    </row>
    <row r="29" spans="1:10" x14ac:dyDescent="0.35">
      <c r="A29" s="2">
        <v>28</v>
      </c>
      <c r="B29" s="2" t="s">
        <v>102</v>
      </c>
      <c r="C29" s="2" t="s">
        <v>116</v>
      </c>
      <c r="D29" s="3" t="s">
        <v>13</v>
      </c>
      <c r="E29" s="4">
        <v>1</v>
      </c>
      <c r="F29" s="2" t="s">
        <v>6</v>
      </c>
      <c r="G29" s="4">
        <v>3</v>
      </c>
      <c r="H29" s="3" t="s">
        <v>17</v>
      </c>
      <c r="I29" s="2" t="str">
        <f>IF(OR(E29="",G29="",'Fase de Grupos'!F29="",'Fase de Grupos'!H29=""),"⏳",IF(AND(E29='Fase de Grupos'!F29,G29='Fase de Grupos'!H29),"✅ Placar exato!",IF(SIGN(E29-G29)=SIGN('Fase de Grupos'!F29-'Fase de Grupos'!H29),"🟡 Acertou resultado","❌ Errou")))</f>
        <v>❌ Errou</v>
      </c>
      <c r="J29" s="2">
        <f>IF(OR(E29="",G29="",'Fase de Grupos'!F29="",'Fase de Grupos'!H29=""),"",IF(AND(E29='Fase de Grupos'!F29,G29='Fase de Grupos'!H29),5,IF(SIGN(E29-G29)=SIGN('Fase de Grupos'!F29-'Fase de Grupos'!H29),3,0)))</f>
        <v>0</v>
      </c>
    </row>
    <row r="30" spans="1:10" x14ac:dyDescent="0.35">
      <c r="A30" s="2">
        <v>29</v>
      </c>
      <c r="B30" s="2" t="s">
        <v>103</v>
      </c>
      <c r="C30" s="2" t="s">
        <v>126</v>
      </c>
      <c r="D30" s="3" t="s">
        <v>27</v>
      </c>
      <c r="E30" s="4">
        <v>3</v>
      </c>
      <c r="F30" s="2" t="s">
        <v>6</v>
      </c>
      <c r="G30" s="4">
        <v>0</v>
      </c>
      <c r="H30" s="3" t="s">
        <v>44</v>
      </c>
      <c r="I30" s="2" t="str">
        <f>IF(OR(E30="",G30="",'Fase de Grupos'!F30="",'Fase de Grupos'!H30=""),"⏳",IF(AND(E30='Fase de Grupos'!F30,G30='Fase de Grupos'!H30),"✅ Placar exato!",IF(SIGN(E30-G30)=SIGN('Fase de Grupos'!F30-'Fase de Grupos'!H30),"🟡 Acertou resultado","❌ Errou")))</f>
        <v>🟡 Acertou resultado</v>
      </c>
      <c r="J30" s="2">
        <f>IF(OR(E30="",G30="",'Fase de Grupos'!F30="",'Fase de Grupos'!H30=""),"",IF(AND(E30='Fase de Grupos'!F30,G30='Fase de Grupos'!H30),5,IF(SIGN(E30-G30)=SIGN('Fase de Grupos'!F30-'Fase de Grupos'!H30),3,0)))</f>
        <v>3</v>
      </c>
    </row>
    <row r="31" spans="1:10" x14ac:dyDescent="0.35">
      <c r="A31" s="2">
        <v>30</v>
      </c>
      <c r="B31" s="2" t="s">
        <v>103</v>
      </c>
      <c r="C31" s="2" t="s">
        <v>125</v>
      </c>
      <c r="D31" s="3" t="s">
        <v>40</v>
      </c>
      <c r="E31" s="4">
        <v>2</v>
      </c>
      <c r="F31" s="2" t="s">
        <v>6</v>
      </c>
      <c r="G31" s="4">
        <v>2</v>
      </c>
      <c r="H31" s="3" t="s">
        <v>37</v>
      </c>
      <c r="I31" s="2" t="str">
        <f>IF(OR(E31="",G31="",'Fase de Grupos'!F31="",'Fase de Grupos'!H31=""),"⏳",IF(AND(E31='Fase de Grupos'!F31,G31='Fase de Grupos'!H31),"✅ Placar exato!",IF(SIGN(E31-G31)=SIGN('Fase de Grupos'!F31-'Fase de Grupos'!H31),"🟡 Acertou resultado","❌ Errou")))</f>
        <v>❌ Errou</v>
      </c>
      <c r="J31" s="2">
        <f>IF(OR(E31="",G31="",'Fase de Grupos'!F31="",'Fase de Grupos'!H31=""),"",IF(AND(E31='Fase de Grupos'!F31,G31='Fase de Grupos'!H31),5,IF(SIGN(E31-G31)=SIGN('Fase de Grupos'!F31-'Fase de Grupos'!H31),3,0)))</f>
        <v>0</v>
      </c>
    </row>
    <row r="32" spans="1:10" x14ac:dyDescent="0.35">
      <c r="A32" s="2">
        <v>31</v>
      </c>
      <c r="B32" s="2" t="s">
        <v>103</v>
      </c>
      <c r="C32" s="2" t="s">
        <v>125</v>
      </c>
      <c r="D32" s="3" t="s">
        <v>36</v>
      </c>
      <c r="E32" s="4">
        <v>4</v>
      </c>
      <c r="F32" s="2" t="s">
        <v>6</v>
      </c>
      <c r="G32" s="4">
        <v>1</v>
      </c>
      <c r="H32" s="3" t="s">
        <v>39</v>
      </c>
      <c r="I32" s="2" t="str">
        <f>IF(OR(E32="",G32="",'Fase de Grupos'!F32="",'Fase de Grupos'!H32=""),"⏳",IF(AND(E32='Fase de Grupos'!F32,G32='Fase de Grupos'!H32),"✅ Placar exato!",IF(SIGN(E32-G32)=SIGN('Fase de Grupos'!F32-'Fase de Grupos'!H32),"🟡 Acertou resultado","❌ Errou")))</f>
        <v>🟡 Acertou resultado</v>
      </c>
      <c r="J32" s="2">
        <f>IF(OR(E32="",G32="",'Fase de Grupos'!F32="",'Fase de Grupos'!H32=""),"",IF(AND(E32='Fase de Grupos'!F32,G32='Fase de Grupos'!H32),5,IF(SIGN(E32-G32)=SIGN('Fase de Grupos'!F32-'Fase de Grupos'!H32),3,0)))</f>
        <v>3</v>
      </c>
    </row>
    <row r="33" spans="1:10" x14ac:dyDescent="0.35">
      <c r="A33" s="2">
        <v>32</v>
      </c>
      <c r="B33" s="2" t="s">
        <v>105</v>
      </c>
      <c r="C33" s="2" t="s">
        <v>126</v>
      </c>
      <c r="D33" s="3" t="s">
        <v>45</v>
      </c>
      <c r="E33" s="4">
        <v>0</v>
      </c>
      <c r="F33" s="2" t="s">
        <v>6</v>
      </c>
      <c r="G33" s="4">
        <v>2</v>
      </c>
      <c r="H33" s="3" t="s">
        <v>28</v>
      </c>
      <c r="I33" s="2" t="str">
        <f>IF(OR(E33="",G33="",'Fase de Grupos'!F33="",'Fase de Grupos'!H33=""),"⏳",IF(AND(E33='Fase de Grupos'!F33,G33='Fase de Grupos'!H33),"✅ Placar exato!",IF(SIGN(E33-G33)=SIGN('Fase de Grupos'!F33-'Fase de Grupos'!H33),"🟡 Acertou resultado","❌ Errou")))</f>
        <v>🟡 Acertou resultado</v>
      </c>
      <c r="J33" s="2">
        <f>IF(OR(E33="",G33="",'Fase de Grupos'!F33="",'Fase de Grupos'!H33=""),"",IF(AND(E33='Fase de Grupos'!F33,G33='Fase de Grupos'!H33),5,IF(SIGN(E33-G33)=SIGN('Fase de Grupos'!F33-'Fase de Grupos'!H33),3,0)))</f>
        <v>3</v>
      </c>
    </row>
    <row r="34" spans="1:10" x14ac:dyDescent="0.35">
      <c r="A34" s="2">
        <v>33</v>
      </c>
      <c r="B34" s="2" t="s">
        <v>105</v>
      </c>
      <c r="C34" s="2" t="s">
        <v>127</v>
      </c>
      <c r="D34" s="3" t="s">
        <v>49</v>
      </c>
      <c r="E34" s="4">
        <v>1</v>
      </c>
      <c r="F34" s="2" t="s">
        <v>6</v>
      </c>
      <c r="G34" s="4">
        <v>2</v>
      </c>
      <c r="H34" s="3" t="s">
        <v>58</v>
      </c>
      <c r="I34" s="2" t="str">
        <f>IF(OR(E34="",G34="",'Fase de Grupos'!F34="",'Fase de Grupos'!H34=""),"⏳",IF(AND(E34='Fase de Grupos'!F34,G34='Fase de Grupos'!H34),"✅ Placar exato!",IF(SIGN(E34-G34)=SIGN('Fase de Grupos'!F34-'Fase de Grupos'!H34),"🟡 Acertou resultado","❌ Errou")))</f>
        <v>❌ Errou</v>
      </c>
      <c r="J34" s="2">
        <f>IF(OR(E34="",G34="",'Fase de Grupos'!F34="",'Fase de Grupos'!H34=""),"",IF(AND(E34='Fase de Grupos'!F34,G34='Fase de Grupos'!H34),5,IF(SIGN(E34-G34)=SIGN('Fase de Grupos'!F34-'Fase de Grupos'!H34),3,0)))</f>
        <v>0</v>
      </c>
    </row>
    <row r="35" spans="1:10" x14ac:dyDescent="0.35">
      <c r="A35" s="2">
        <v>34</v>
      </c>
      <c r="B35" s="2" t="s">
        <v>105</v>
      </c>
      <c r="C35" s="2" t="s">
        <v>127</v>
      </c>
      <c r="D35" s="3" t="s">
        <v>59</v>
      </c>
      <c r="E35" s="4">
        <v>4</v>
      </c>
      <c r="F35" s="2" t="s">
        <v>6</v>
      </c>
      <c r="G35" s="4">
        <v>0</v>
      </c>
      <c r="H35" s="3" t="s">
        <v>50</v>
      </c>
      <c r="I35" s="2" t="str">
        <f>IF(OR(E35="",G35="",'Fase de Grupos'!F35="",'Fase de Grupos'!H35=""),"⏳",IF(AND(E35='Fase de Grupos'!F35,G35='Fase de Grupos'!H35),"✅ Placar exato!",IF(SIGN(E35-G35)=SIGN('Fase de Grupos'!F35-'Fase de Grupos'!H35),"🟡 Acertou resultado","❌ Errou")))</f>
        <v>❌ Errou</v>
      </c>
      <c r="J35" s="2">
        <f>IF(OR(E35="",G35="",'Fase de Grupos'!F35="",'Fase de Grupos'!H35=""),"",IF(AND(E35='Fase de Grupos'!F35,G35='Fase de Grupos'!H35),5,IF(SIGN(E35-G35)=SIGN('Fase de Grupos'!F35-'Fase de Grupos'!H35),3,0)))</f>
        <v>0</v>
      </c>
    </row>
    <row r="36" spans="1:10" x14ac:dyDescent="0.35">
      <c r="A36" s="2">
        <v>35</v>
      </c>
      <c r="B36" s="2" t="s">
        <v>105</v>
      </c>
      <c r="C36" s="2" t="s">
        <v>128</v>
      </c>
      <c r="D36" s="3" t="s">
        <v>54</v>
      </c>
      <c r="E36" s="4">
        <v>3</v>
      </c>
      <c r="F36" s="2" t="s">
        <v>6</v>
      </c>
      <c r="G36" s="4">
        <v>2</v>
      </c>
      <c r="H36" s="3" t="s">
        <v>61</v>
      </c>
      <c r="I36" s="2" t="str">
        <f>IF(OR(E36="",G36="",'Fase de Grupos'!F36="",'Fase de Grupos'!H36=""),"⏳",IF(AND(E36='Fase de Grupos'!F36,G36='Fase de Grupos'!H36),"✅ Placar exato!",IF(SIGN(E36-G36)=SIGN('Fase de Grupos'!F36-'Fase de Grupos'!H36),"🟡 Acertou resultado","❌ Errou")))</f>
        <v>🟡 Acertou resultado</v>
      </c>
      <c r="J36" s="2">
        <f>IF(OR(E36="",G36="",'Fase de Grupos'!F36="",'Fase de Grupos'!H36=""),"",IF(AND(E36='Fase de Grupos'!F36,G36='Fase de Grupos'!H36),5,IF(SIGN(E36-G36)=SIGN('Fase de Grupos'!F36-'Fase de Grupos'!H36),3,0)))</f>
        <v>3</v>
      </c>
    </row>
    <row r="37" spans="1:10" x14ac:dyDescent="0.35">
      <c r="A37" s="2">
        <v>36</v>
      </c>
      <c r="B37" s="2" t="s">
        <v>106</v>
      </c>
      <c r="C37" s="2" t="s">
        <v>128</v>
      </c>
      <c r="D37" s="3" t="s">
        <v>62</v>
      </c>
      <c r="E37" s="4">
        <v>1</v>
      </c>
      <c r="F37" s="2" t="s">
        <v>6</v>
      </c>
      <c r="G37" s="4">
        <v>2</v>
      </c>
      <c r="H37" s="3" t="s">
        <v>55</v>
      </c>
      <c r="I37" s="2" t="str">
        <f>IF(OR(E37="",G37="",'Fase de Grupos'!F37="",'Fase de Grupos'!H37=""),"⏳",IF(AND(E37='Fase de Grupos'!F37,G37='Fase de Grupos'!H37),"✅ Placar exato!",IF(SIGN(E37-G37)=SIGN('Fase de Grupos'!F37-'Fase de Grupos'!H37),"🟡 Acertou resultado","❌ Errou")))</f>
        <v>🟡 Acertou resultado</v>
      </c>
      <c r="J37" s="2">
        <f>IF(OR(E37="",G37="",'Fase de Grupos'!F37="",'Fase de Grupos'!H37=""),"",IF(AND(E37='Fase de Grupos'!F37,G37='Fase de Grupos'!H37),5,IF(SIGN(E37-G37)=SIGN('Fase de Grupos'!F37-'Fase de Grupos'!H37),3,0)))</f>
        <v>3</v>
      </c>
    </row>
    <row r="38" spans="1:10" x14ac:dyDescent="0.35">
      <c r="A38" s="2">
        <v>37</v>
      </c>
      <c r="B38" s="2" t="s">
        <v>106</v>
      </c>
      <c r="C38" s="2" t="s">
        <v>130</v>
      </c>
      <c r="D38" s="3" t="s">
        <v>67</v>
      </c>
      <c r="E38" s="4">
        <v>3</v>
      </c>
      <c r="F38" s="2" t="s">
        <v>6</v>
      </c>
      <c r="G38" s="4">
        <v>1</v>
      </c>
      <c r="H38" s="3" t="s">
        <v>74</v>
      </c>
      <c r="I38" s="2" t="str">
        <f>IF(OR(E38="",G38="",'Fase de Grupos'!F38="",'Fase de Grupos'!H38=""),"⏳",IF(AND(E38='Fase de Grupos'!F38,G38='Fase de Grupos'!H38),"✅ Placar exato!",IF(SIGN(E38-G38)=SIGN('Fase de Grupos'!F38-'Fase de Grupos'!H38),"🟡 Acertou resultado","❌ Errou")))</f>
        <v>🟡 Acertou resultado</v>
      </c>
      <c r="J38" s="2">
        <f>IF(OR(E38="",G38="",'Fase de Grupos'!F38="",'Fase de Grupos'!H38=""),"",IF(AND(E38='Fase de Grupos'!F38,G38='Fase de Grupos'!H38),5,IF(SIGN(E38-G38)=SIGN('Fase de Grupos'!F38-'Fase de Grupos'!H38),3,0)))</f>
        <v>3</v>
      </c>
    </row>
    <row r="39" spans="1:10" x14ac:dyDescent="0.35">
      <c r="A39" s="2">
        <v>38</v>
      </c>
      <c r="B39" s="2" t="s">
        <v>106</v>
      </c>
      <c r="C39" s="2" t="s">
        <v>129</v>
      </c>
      <c r="D39" s="3" t="s">
        <v>71</v>
      </c>
      <c r="E39" s="4">
        <v>1</v>
      </c>
      <c r="F39" s="2" t="s">
        <v>6</v>
      </c>
      <c r="G39" s="4">
        <v>0</v>
      </c>
      <c r="H39" s="3" t="s">
        <v>77</v>
      </c>
      <c r="I39" s="2" t="str">
        <f>IF(OR(E39="",G39="",'Fase de Grupos'!F39="",'Fase de Grupos'!H39=""),"⏳",IF(AND(E39='Fase de Grupos'!F39,G39='Fase de Grupos'!H39),"✅ Placar exato!",IF(SIGN(E39-G39)=SIGN('Fase de Grupos'!F39-'Fase de Grupos'!H39),"🟡 Acertou resultado","❌ Errou")))</f>
        <v>❌ Errou</v>
      </c>
      <c r="J39" s="2">
        <f>IF(OR(E39="",G39="",'Fase de Grupos'!F39="",'Fase de Grupos'!H39=""),"",IF(AND(E39='Fase de Grupos'!F39,G39='Fase de Grupos'!H39),5,IF(SIGN(E39-G39)=SIGN('Fase de Grupos'!F39-'Fase de Grupos'!H39),3,0)))</f>
        <v>0</v>
      </c>
    </row>
    <row r="40" spans="1:10" x14ac:dyDescent="0.35">
      <c r="A40" s="2">
        <v>39</v>
      </c>
      <c r="B40" s="2" t="s">
        <v>106</v>
      </c>
      <c r="C40" s="2" t="s">
        <v>130</v>
      </c>
      <c r="D40" s="3" t="s">
        <v>75</v>
      </c>
      <c r="E40" s="4">
        <v>2</v>
      </c>
      <c r="F40" s="2" t="s">
        <v>6</v>
      </c>
      <c r="G40" s="4">
        <v>0</v>
      </c>
      <c r="H40" s="3" t="s">
        <v>68</v>
      </c>
      <c r="I40" s="2" t="str">
        <f>IF(OR(E40="",G40="",'Fase de Grupos'!F40="",'Fase de Grupos'!H40=""),"⏳",IF(AND(E40='Fase de Grupos'!F40,G40='Fase de Grupos'!H40),"✅ Placar exato!",IF(SIGN(E40-G40)=SIGN('Fase de Grupos'!F40-'Fase de Grupos'!H40),"🟡 Acertou resultado","❌ Errou")))</f>
        <v>❌ Errou</v>
      </c>
      <c r="J40" s="2">
        <f>IF(OR(E40="",G40="",'Fase de Grupos'!F40="",'Fase de Grupos'!H40=""),"",IF(AND(E40='Fase de Grupos'!F40,G40='Fase de Grupos'!H40),5,IF(SIGN(E40-G40)=SIGN('Fase de Grupos'!F40-'Fase de Grupos'!H40),3,0)))</f>
        <v>0</v>
      </c>
    </row>
    <row r="41" spans="1:10" x14ac:dyDescent="0.35">
      <c r="A41" s="2">
        <v>40</v>
      </c>
      <c r="B41" s="2" t="s">
        <v>106</v>
      </c>
      <c r="C41" s="2" t="s">
        <v>129</v>
      </c>
      <c r="D41" s="3" t="s">
        <v>78</v>
      </c>
      <c r="E41" s="4">
        <v>2</v>
      </c>
      <c r="F41" s="2" t="s">
        <v>6</v>
      </c>
      <c r="G41" s="4">
        <v>2</v>
      </c>
      <c r="H41" s="3" t="s">
        <v>72</v>
      </c>
      <c r="I41" s="2" t="str">
        <f>IF(OR(E41="",G41="",'Fase de Grupos'!F41="",'Fase de Grupos'!H41=""),"⏳",IF(AND(E41='Fase de Grupos'!F41,G41='Fase de Grupos'!H41),"✅ Placar exato!",IF(SIGN(E41-G41)=SIGN('Fase de Grupos'!F41-'Fase de Grupos'!H41),"🟡 Acertou resultado","❌ Errou")))</f>
        <v>❌ Errou</v>
      </c>
      <c r="J41" s="2">
        <f>IF(OR(E41="",G41="",'Fase de Grupos'!F41="",'Fase de Grupos'!H41=""),"",IF(AND(E41='Fase de Grupos'!F41,G41='Fase de Grupos'!H41),5,IF(SIGN(E41-G41)=SIGN('Fase de Grupos'!F41-'Fase de Grupos'!H41),3,0)))</f>
        <v>0</v>
      </c>
    </row>
    <row r="42" spans="1:10" x14ac:dyDescent="0.35">
      <c r="A42" s="2">
        <v>41</v>
      </c>
      <c r="B42" s="2" t="s">
        <v>107</v>
      </c>
      <c r="C42" s="2" t="s">
        <v>131</v>
      </c>
      <c r="D42" s="3" t="s">
        <v>81</v>
      </c>
      <c r="E42" s="4">
        <v>5</v>
      </c>
      <c r="F42" s="2" t="s">
        <v>6</v>
      </c>
      <c r="G42" s="4">
        <v>0</v>
      </c>
      <c r="H42" s="3" t="s">
        <v>83</v>
      </c>
      <c r="I42" s="2" t="str">
        <f>IF(OR(E42="",G42="",'Fase de Grupos'!F42="",'Fase de Grupos'!H42=""),"⏳",IF(AND(E42='Fase de Grupos'!F42,G42='Fase de Grupos'!H42),"✅ Placar exato!",IF(SIGN(E42-G42)=SIGN('Fase de Grupos'!F42-'Fase de Grupos'!H42),"🟡 Acertou resultado","❌ Errou")))</f>
        <v>🟡 Acertou resultado</v>
      </c>
      <c r="J42" s="2">
        <f>IF(OR(E42="",G42="",'Fase de Grupos'!F42="",'Fase de Grupos'!H42=""),"",IF(AND(E42='Fase de Grupos'!F42,G42='Fase de Grupos'!H42),5,IF(SIGN(E42-G42)=SIGN('Fase de Grupos'!F42-'Fase de Grupos'!H42),3,0)))</f>
        <v>3</v>
      </c>
    </row>
    <row r="43" spans="1:10" x14ac:dyDescent="0.35">
      <c r="A43" s="2">
        <v>42</v>
      </c>
      <c r="B43" s="2" t="s">
        <v>107</v>
      </c>
      <c r="C43" s="2" t="s">
        <v>131</v>
      </c>
      <c r="D43" s="3" t="s">
        <v>84</v>
      </c>
      <c r="E43" s="4">
        <v>1</v>
      </c>
      <c r="F43" s="2" t="s">
        <v>6</v>
      </c>
      <c r="G43" s="4">
        <v>2</v>
      </c>
      <c r="H43" s="3" t="s">
        <v>82</v>
      </c>
      <c r="I43" s="2" t="str">
        <f>IF(OR(E43="",G43="",'Fase de Grupos'!F43="",'Fase de Grupos'!H43=""),"⏳",IF(AND(E43='Fase de Grupos'!F43,G43='Fase de Grupos'!H43),"✅ Placar exato!",IF(SIGN(E43-G43)=SIGN('Fase de Grupos'!F43-'Fase de Grupos'!H43),"🟡 Acertou resultado","❌ Errou")))</f>
        <v>❌ Errou</v>
      </c>
      <c r="J43" s="2">
        <f>IF(OR(E43="",G43="",'Fase de Grupos'!F43="",'Fase de Grupos'!H43=""),"",IF(AND(E43='Fase de Grupos'!F43,G43='Fase de Grupos'!H43),5,IF(SIGN(E43-G43)=SIGN('Fase de Grupos'!F43-'Fase de Grupos'!H43),3,0)))</f>
        <v>0</v>
      </c>
    </row>
    <row r="44" spans="1:10" x14ac:dyDescent="0.35">
      <c r="A44" s="2">
        <v>43</v>
      </c>
      <c r="B44" s="2" t="s">
        <v>107</v>
      </c>
      <c r="C44" s="2" t="s">
        <v>132</v>
      </c>
      <c r="D44" s="3" t="s">
        <v>86</v>
      </c>
      <c r="E44" s="4">
        <v>2</v>
      </c>
      <c r="F44" s="2" t="s">
        <v>6</v>
      </c>
      <c r="G44" s="4">
        <v>0</v>
      </c>
      <c r="H44" s="3" t="s">
        <v>90</v>
      </c>
      <c r="I44" s="2" t="str">
        <f>IF(OR(E44="",G44="",'Fase de Grupos'!F44="",'Fase de Grupos'!H44=""),"⏳",IF(AND(E44='Fase de Grupos'!F44,G44='Fase de Grupos'!H44),"✅ Placar exato!",IF(SIGN(E44-G44)=SIGN('Fase de Grupos'!F44-'Fase de Grupos'!H44),"🟡 Acertou resultado","❌ Errou")))</f>
        <v>✅ Placar exato!</v>
      </c>
      <c r="J44" s="2">
        <f>IF(OR(E44="",G44="",'Fase de Grupos'!F44="",'Fase de Grupos'!H44=""),"",IF(AND(E44='Fase de Grupos'!F44,G44='Fase de Grupos'!H44),5,IF(SIGN(E44-G44)=SIGN('Fase de Grupos'!F44-'Fase de Grupos'!H44),3,0)))</f>
        <v>5</v>
      </c>
    </row>
    <row r="45" spans="1:10" x14ac:dyDescent="0.35">
      <c r="A45" s="2">
        <v>44</v>
      </c>
      <c r="B45" s="2" t="s">
        <v>107</v>
      </c>
      <c r="C45" s="2" t="s">
        <v>132</v>
      </c>
      <c r="D45" s="3" t="s">
        <v>91</v>
      </c>
      <c r="E45" s="4">
        <v>0</v>
      </c>
      <c r="F45" s="2" t="s">
        <v>6</v>
      </c>
      <c r="G45" s="4">
        <v>1</v>
      </c>
      <c r="H45" s="3" t="s">
        <v>87</v>
      </c>
      <c r="I45" s="2" t="str">
        <f>IF(OR(E45="",G45="",'Fase de Grupos'!F45="",'Fase de Grupos'!H45=""),"⏳",IF(AND(E45='Fase de Grupos'!F45,G45='Fase de Grupos'!H45),"✅ Placar exato!",IF(SIGN(E45-G45)=SIGN('Fase de Grupos'!F45-'Fase de Grupos'!H45),"🟡 Acertou resultado","❌ Errou")))</f>
        <v>🟡 Acertou resultado</v>
      </c>
      <c r="J45" s="2">
        <f>IF(OR(E45="",G45="",'Fase de Grupos'!F45="",'Fase de Grupos'!H45=""),"",IF(AND(E45='Fase de Grupos'!F45,G45='Fase de Grupos'!H45),5,IF(SIGN(E45-G45)=SIGN('Fase de Grupos'!F45-'Fase de Grupos'!H45),3,0)))</f>
        <v>3</v>
      </c>
    </row>
    <row r="46" spans="1:10" x14ac:dyDescent="0.35">
      <c r="A46" s="2">
        <v>45</v>
      </c>
      <c r="B46" s="2" t="s">
        <v>110</v>
      </c>
      <c r="C46" s="2" t="s">
        <v>134</v>
      </c>
      <c r="D46" s="3" t="s">
        <v>96</v>
      </c>
      <c r="E46" s="4">
        <v>2</v>
      </c>
      <c r="F46" s="2" t="s">
        <v>6</v>
      </c>
      <c r="G46" s="4">
        <v>2</v>
      </c>
      <c r="H46" s="3" t="s">
        <v>98</v>
      </c>
      <c r="I46" s="2" t="str">
        <f>IF(OR(E46="",G46="",'Fase de Grupos'!F46="",'Fase de Grupos'!H46=""),"⏳",IF(AND(E46='Fase de Grupos'!F46,G46='Fase de Grupos'!H46),"✅ Placar exato!",IF(SIGN(E46-G46)=SIGN('Fase de Grupos'!F46-'Fase de Grupos'!H46),"🟡 Acertou resultado","❌ Errou")))</f>
        <v>🟡 Acertou resultado</v>
      </c>
      <c r="J46" s="2">
        <f>IF(OR(E46="",G46="",'Fase de Grupos'!F46="",'Fase de Grupos'!H46=""),"",IF(AND(E46='Fase de Grupos'!F46,G46='Fase de Grupos'!H46),5,IF(SIGN(E46-G46)=SIGN('Fase de Grupos'!F46-'Fase de Grupos'!H46),3,0)))</f>
        <v>3</v>
      </c>
    </row>
    <row r="47" spans="1:10" x14ac:dyDescent="0.35">
      <c r="A47" s="2">
        <v>46</v>
      </c>
      <c r="B47" s="2" t="s">
        <v>110</v>
      </c>
      <c r="C47" s="2" t="s">
        <v>134</v>
      </c>
      <c r="D47" s="3" t="s">
        <v>99</v>
      </c>
      <c r="E47" s="4">
        <v>1</v>
      </c>
      <c r="F47" s="2" t="s">
        <v>6</v>
      </c>
      <c r="G47" s="4">
        <v>3</v>
      </c>
      <c r="H47" s="3" t="s">
        <v>97</v>
      </c>
      <c r="I47" s="2" t="str">
        <f>IF(OR(E47="",G47="",'Fase de Grupos'!F47="",'Fase de Grupos'!H47=""),"⏳",IF(AND(E47='Fase de Grupos'!F47,G47='Fase de Grupos'!H47),"✅ Placar exato!",IF(SIGN(E47-G47)=SIGN('Fase de Grupos'!F47-'Fase de Grupos'!H47),"🟡 Acertou resultado","❌ Errou")))</f>
        <v>🟡 Acertou resultado</v>
      </c>
      <c r="J47" s="2">
        <f>IF(OR(E47="",G47="",'Fase de Grupos'!F47="",'Fase de Grupos'!H47=""),"",IF(AND(E47='Fase de Grupos'!F47,G47='Fase de Grupos'!H47),5,IF(SIGN(E47-G47)=SIGN('Fase de Grupos'!F47-'Fase de Grupos'!H47),3,0)))</f>
        <v>3</v>
      </c>
    </row>
    <row r="48" spans="1:10" x14ac:dyDescent="0.35">
      <c r="A48" s="2">
        <v>47</v>
      </c>
      <c r="B48" s="2" t="s">
        <v>110</v>
      </c>
      <c r="C48" s="2" t="s">
        <v>133</v>
      </c>
      <c r="D48" s="3" t="s">
        <v>93</v>
      </c>
      <c r="E48" s="4">
        <v>4</v>
      </c>
      <c r="F48" s="2" t="s">
        <v>6</v>
      </c>
      <c r="G48" s="4">
        <v>1</v>
      </c>
      <c r="H48" s="3" t="s">
        <v>100</v>
      </c>
      <c r="I48" s="2" t="str">
        <f>IF(OR(E48="",G48="",'Fase de Grupos'!F48="",'Fase de Grupos'!H48=""),"⏳",IF(AND(E48='Fase de Grupos'!F48,G48='Fase de Grupos'!H48),"✅ Placar exato!",IF(SIGN(E48-G48)=SIGN('Fase de Grupos'!F48-'Fase de Grupos'!H48),"🟡 Acertou resultado","❌ Errou")))</f>
        <v>🟡 Acertou resultado</v>
      </c>
      <c r="J48" s="2">
        <f>IF(OR(E48="",G48="",'Fase de Grupos'!F48="",'Fase de Grupos'!H48=""),"",IF(AND(E48='Fase de Grupos'!F48,G48='Fase de Grupos'!H48),5,IF(SIGN(E48-G48)=SIGN('Fase de Grupos'!F48-'Fase de Grupos'!H48),3,0)))</f>
        <v>3</v>
      </c>
    </row>
    <row r="49" spans="1:10" x14ac:dyDescent="0.35">
      <c r="A49" s="2">
        <v>48</v>
      </c>
      <c r="B49" s="2" t="s">
        <v>110</v>
      </c>
      <c r="C49" s="2" t="s">
        <v>133</v>
      </c>
      <c r="D49" s="3" t="s">
        <v>101</v>
      </c>
      <c r="E49" s="4">
        <v>3</v>
      </c>
      <c r="F49" s="2" t="s">
        <v>6</v>
      </c>
      <c r="G49" s="4">
        <v>0</v>
      </c>
      <c r="H49" s="3" t="s">
        <v>94</v>
      </c>
      <c r="I49" s="2" t="str">
        <f>IF(OR(E49="",G49="",'Fase de Grupos'!F49="",'Fase de Grupos'!H49=""),"⏳",IF(AND(E49='Fase de Grupos'!F49,G49='Fase de Grupos'!H49),"✅ Placar exato!",IF(SIGN(E49-G49)=SIGN('Fase de Grupos'!F49-'Fase de Grupos'!H49),"🟡 Acertou resultado","❌ Errou")))</f>
        <v>🟡 Acertou resultado</v>
      </c>
      <c r="J49" s="2">
        <f>IF(OR(E49="",G49="",'Fase de Grupos'!F49="",'Fase de Grupos'!H49=""),"",IF(AND(E49='Fase de Grupos'!F49,G49='Fase de Grupos'!H49),5,IF(SIGN(E49-G49)=SIGN('Fase de Grupos'!F49-'Fase de Grupos'!H49),3,0)))</f>
        <v>3</v>
      </c>
    </row>
    <row r="50" spans="1:10" x14ac:dyDescent="0.35">
      <c r="A50" s="2">
        <v>49</v>
      </c>
      <c r="B50" s="2" t="s">
        <v>111</v>
      </c>
      <c r="C50" s="2" t="s">
        <v>125</v>
      </c>
      <c r="D50" s="3" t="s">
        <v>40</v>
      </c>
      <c r="E50" s="4">
        <v>1</v>
      </c>
      <c r="F50" s="2" t="s">
        <v>6</v>
      </c>
      <c r="G50" s="4">
        <v>3</v>
      </c>
      <c r="H50" s="3" t="s">
        <v>36</v>
      </c>
      <c r="I50" s="2" t="str">
        <f>IF(OR(E50="",G50="",'Fase de Grupos'!F50="",'Fase de Grupos'!H50=""),"⏳",IF(AND(E50='Fase de Grupos'!F50,G50='Fase de Grupos'!H50),"✅ Placar exato!",IF(SIGN(E50-G50)=SIGN('Fase de Grupos'!F50-'Fase de Grupos'!H50),"🟡 Acertou resultado","❌ Errou")))</f>
        <v>🟡 Acertou resultado</v>
      </c>
      <c r="J50" s="2">
        <f>IF(OR(E50="",G50="",'Fase de Grupos'!F50="",'Fase de Grupos'!H50=""),"",IF(AND(E50='Fase de Grupos'!F50,G50='Fase de Grupos'!H50),5,IF(SIGN(E50-G50)=SIGN('Fase de Grupos'!F50-'Fase de Grupos'!H50),3,0)))</f>
        <v>3</v>
      </c>
    </row>
    <row r="51" spans="1:10" x14ac:dyDescent="0.35">
      <c r="A51" s="2">
        <v>50</v>
      </c>
      <c r="B51" s="2" t="s">
        <v>111</v>
      </c>
      <c r="C51" s="2" t="s">
        <v>125</v>
      </c>
      <c r="D51" s="3" t="s">
        <v>37</v>
      </c>
      <c r="E51" s="4">
        <v>3</v>
      </c>
      <c r="F51" s="2" t="s">
        <v>6</v>
      </c>
      <c r="G51" s="4">
        <v>0</v>
      </c>
      <c r="H51" s="3" t="s">
        <v>39</v>
      </c>
      <c r="I51" s="2" t="str">
        <f>IF(OR(E51="",G51="",'Fase de Grupos'!F51="",'Fase de Grupos'!H51=""),"⏳",IF(AND(E51='Fase de Grupos'!F51,G51='Fase de Grupos'!H51),"✅ Placar exato!",IF(SIGN(E51-G51)=SIGN('Fase de Grupos'!F51-'Fase de Grupos'!H51),"🟡 Acertou resultado","❌ Errou")))</f>
        <v>🟡 Acertou resultado</v>
      </c>
      <c r="J51" s="2">
        <f>IF(OR(E51="",G51="",'Fase de Grupos'!F51="",'Fase de Grupos'!H51=""),"",IF(AND(E51='Fase de Grupos'!F51,G51='Fase de Grupos'!H51),5,IF(SIGN(E51-G51)=SIGN('Fase de Grupos'!F51-'Fase de Grupos'!H51),3,0)))</f>
        <v>3</v>
      </c>
    </row>
    <row r="52" spans="1:10" x14ac:dyDescent="0.35">
      <c r="A52" s="2">
        <v>51</v>
      </c>
      <c r="B52" s="2" t="s">
        <v>111</v>
      </c>
      <c r="C52" s="2" t="s">
        <v>124</v>
      </c>
      <c r="D52" s="3" t="s">
        <v>32</v>
      </c>
      <c r="E52" s="4">
        <v>0</v>
      </c>
      <c r="F52" s="2" t="s">
        <v>6</v>
      </c>
      <c r="G52" s="4">
        <v>1</v>
      </c>
      <c r="H52" s="3" t="s">
        <v>22</v>
      </c>
      <c r="I52" s="2" t="str">
        <f>IF(OR(E52="",G52="",'Fase de Grupos'!F52="",'Fase de Grupos'!H52=""),"⏳",IF(AND(E52='Fase de Grupos'!F52,G52='Fase de Grupos'!H52),"✅ Placar exato!",IF(SIGN(E52-G52)=SIGN('Fase de Grupos'!F52-'Fase de Grupos'!H52),"🟡 Acertou resultado","❌ Errou")))</f>
        <v>❌ Errou</v>
      </c>
      <c r="J52" s="2">
        <f>IF(OR(E52="",G52="",'Fase de Grupos'!F52="",'Fase de Grupos'!H52=""),"",IF(AND(E52='Fase de Grupos'!F52,G52='Fase de Grupos'!H52),5,IF(SIGN(E52-G52)=SIGN('Fase de Grupos'!F52-'Fase de Grupos'!H52),3,0)))</f>
        <v>0</v>
      </c>
    </row>
    <row r="53" spans="1:10" x14ac:dyDescent="0.35">
      <c r="A53" s="2">
        <v>52</v>
      </c>
      <c r="B53" s="2" t="s">
        <v>111</v>
      </c>
      <c r="C53" s="2" t="s">
        <v>124</v>
      </c>
      <c r="D53" s="3" t="s">
        <v>23</v>
      </c>
      <c r="E53" s="4">
        <v>1</v>
      </c>
      <c r="F53" s="2" t="s">
        <v>6</v>
      </c>
      <c r="G53" s="4">
        <v>0</v>
      </c>
      <c r="H53" s="3" t="s">
        <v>31</v>
      </c>
      <c r="I53" s="2" t="str">
        <f>IF(OR(E53="",G53="",'Fase de Grupos'!F53="",'Fase de Grupos'!H53=""),"⏳",IF(AND(E53='Fase de Grupos'!F53,G53='Fase de Grupos'!H53),"✅ Placar exato!",IF(SIGN(E53-G53)=SIGN('Fase de Grupos'!F53-'Fase de Grupos'!H53),"🟡 Acertou resultado","❌ Errou")))</f>
        <v>🟡 Acertou resultado</v>
      </c>
      <c r="J53" s="2">
        <f>IF(OR(E53="",G53="",'Fase de Grupos'!F53="",'Fase de Grupos'!H53=""),"",IF(AND(E53='Fase de Grupos'!F53,G53='Fase de Grupos'!H53),5,IF(SIGN(E53-G53)=SIGN('Fase de Grupos'!F53-'Fase de Grupos'!H53),3,0)))</f>
        <v>3</v>
      </c>
    </row>
    <row r="54" spans="1:10" x14ac:dyDescent="0.35">
      <c r="A54" s="2">
        <v>53</v>
      </c>
      <c r="B54" s="2" t="s">
        <v>111</v>
      </c>
      <c r="C54" s="2" t="s">
        <v>116</v>
      </c>
      <c r="D54" s="3" t="s">
        <v>18</v>
      </c>
      <c r="E54" s="4">
        <v>2</v>
      </c>
      <c r="F54" s="2" t="s">
        <v>6</v>
      </c>
      <c r="G54" s="4">
        <v>2</v>
      </c>
      <c r="H54" s="3" t="s">
        <v>13</v>
      </c>
      <c r="I54" s="2" t="str">
        <f>IF(OR(E54="",G54="",'Fase de Grupos'!F54="",'Fase de Grupos'!H54=""),"⏳",IF(AND(E54='Fase de Grupos'!F54,G54='Fase de Grupos'!H54),"✅ Placar exato!",IF(SIGN(E54-G54)=SIGN('Fase de Grupos'!F54-'Fase de Grupos'!H54),"🟡 Acertou resultado","❌ Errou")))</f>
        <v>❌ Errou</v>
      </c>
      <c r="J54" s="2">
        <f>IF(OR(E54="",G54="",'Fase de Grupos'!F54="",'Fase de Grupos'!H54=""),"",IF(AND(E54='Fase de Grupos'!F54,G54='Fase de Grupos'!H54),5,IF(SIGN(E54-G54)=SIGN('Fase de Grupos'!F54-'Fase de Grupos'!H54),3,0)))</f>
        <v>0</v>
      </c>
    </row>
    <row r="55" spans="1:10" x14ac:dyDescent="0.35">
      <c r="A55" s="2">
        <v>54</v>
      </c>
      <c r="B55" s="2" t="s">
        <v>111</v>
      </c>
      <c r="C55" s="2" t="s">
        <v>116</v>
      </c>
      <c r="D55" s="3" t="s">
        <v>14</v>
      </c>
      <c r="E55" s="4">
        <v>2</v>
      </c>
      <c r="F55" s="2" t="s">
        <v>6</v>
      </c>
      <c r="G55" s="4">
        <v>3</v>
      </c>
      <c r="H55" s="3" t="s">
        <v>17</v>
      </c>
      <c r="I55" s="2" t="str">
        <f>IF(OR(E55="",G55="",'Fase de Grupos'!F55="",'Fase de Grupos'!H55=""),"⏳",IF(AND(E55='Fase de Grupos'!F55,G55='Fase de Grupos'!H55),"✅ Placar exato!",IF(SIGN(E55-G55)=SIGN('Fase de Grupos'!F55-'Fase de Grupos'!H55),"🟡 Acertou resultado","❌ Errou")))</f>
        <v>❌ Errou</v>
      </c>
      <c r="J55" s="2">
        <f>IF(OR(E55="",G55="",'Fase de Grupos'!F55="",'Fase de Grupos'!H55=""),"",IF(AND(E55='Fase de Grupos'!F55,G55='Fase de Grupos'!H55),5,IF(SIGN(E55-G55)=SIGN('Fase de Grupos'!F55-'Fase de Grupos'!H55),3,0)))</f>
        <v>0</v>
      </c>
    </row>
    <row r="56" spans="1:10" x14ac:dyDescent="0.35">
      <c r="A56" s="2">
        <v>55</v>
      </c>
      <c r="B56" s="2" t="s">
        <v>112</v>
      </c>
      <c r="C56" s="2" t="s">
        <v>127</v>
      </c>
      <c r="D56" s="3" t="s">
        <v>50</v>
      </c>
      <c r="E56" s="4">
        <v>0</v>
      </c>
      <c r="F56" s="2" t="s">
        <v>6</v>
      </c>
      <c r="G56" s="4">
        <v>3</v>
      </c>
      <c r="H56" s="3" t="s">
        <v>58</v>
      </c>
      <c r="I56" s="2" t="str">
        <f>IF(OR(E56="",G56="",'Fase de Grupos'!F56="",'Fase de Grupos'!H56=""),"⏳",IF(AND(E56='Fase de Grupos'!F56,G56='Fase de Grupos'!H56),"✅ Placar exato!",IF(SIGN(E56-G56)=SIGN('Fase de Grupos'!F56-'Fase de Grupos'!H56),"🟡 Acertou resultado","❌ Errou")))</f>
        <v>🟡 Acertou resultado</v>
      </c>
      <c r="J56" s="2">
        <f>IF(OR(E56="",G56="",'Fase de Grupos'!F56="",'Fase de Grupos'!H56=""),"",IF(AND(E56='Fase de Grupos'!F56,G56='Fase de Grupos'!H56),5,IF(SIGN(E56-G56)=SIGN('Fase de Grupos'!F56-'Fase de Grupos'!H56),3,0)))</f>
        <v>3</v>
      </c>
    </row>
    <row r="57" spans="1:10" x14ac:dyDescent="0.35">
      <c r="A57" s="2">
        <v>56</v>
      </c>
      <c r="B57" s="2" t="s">
        <v>112</v>
      </c>
      <c r="C57" s="2" t="s">
        <v>127</v>
      </c>
      <c r="D57" s="3" t="s">
        <v>59</v>
      </c>
      <c r="E57" s="4">
        <v>2</v>
      </c>
      <c r="F57" s="2" t="s">
        <v>6</v>
      </c>
      <c r="G57" s="4">
        <v>2</v>
      </c>
      <c r="H57" s="3" t="s">
        <v>49</v>
      </c>
      <c r="I57" s="2" t="str">
        <f>IF(OR(E57="",G57="",'Fase de Grupos'!F57="",'Fase de Grupos'!H57=""),"⏳",IF(AND(E57='Fase de Grupos'!F57,G57='Fase de Grupos'!H57),"✅ Placar exato!",IF(SIGN(E57-G57)=SIGN('Fase de Grupos'!F57-'Fase de Grupos'!H57),"🟡 Acertou resultado","❌ Errou")))</f>
        <v>❌ Errou</v>
      </c>
      <c r="J57" s="2">
        <f>IF(OR(E57="",G57="",'Fase de Grupos'!F57="",'Fase de Grupos'!H57=""),"",IF(AND(E57='Fase de Grupos'!F57,G57='Fase de Grupos'!H57),5,IF(SIGN(E57-G57)=SIGN('Fase de Grupos'!F57-'Fase de Grupos'!H57),3,0)))</f>
        <v>0</v>
      </c>
    </row>
    <row r="58" spans="1:10" x14ac:dyDescent="0.35">
      <c r="A58" s="2">
        <v>57</v>
      </c>
      <c r="B58" s="2" t="s">
        <v>112</v>
      </c>
      <c r="C58" s="2" t="s">
        <v>128</v>
      </c>
      <c r="D58" s="3" t="s">
        <v>55</v>
      </c>
      <c r="E58" s="4">
        <v>3</v>
      </c>
      <c r="F58" s="2" t="s">
        <v>6</v>
      </c>
      <c r="G58" s="4">
        <v>4</v>
      </c>
      <c r="H58" s="3" t="s">
        <v>61</v>
      </c>
      <c r="I58" s="2" t="str">
        <f>IF(OR(E58="",G58="",'Fase de Grupos'!F58="",'Fase de Grupos'!H58=""),"⏳",IF(AND(E58='Fase de Grupos'!F58,G58='Fase de Grupos'!H58),"✅ Placar exato!",IF(SIGN(E58-G58)=SIGN('Fase de Grupos'!F58-'Fase de Grupos'!H58),"🟡 Acertou resultado","❌ Errou")))</f>
        <v>❌ Errou</v>
      </c>
      <c r="J58" s="2">
        <f>IF(OR(E58="",G58="",'Fase de Grupos'!F58="",'Fase de Grupos'!H58=""),"",IF(AND(E58='Fase de Grupos'!F58,G58='Fase de Grupos'!H58),5,IF(SIGN(E58-G58)=SIGN('Fase de Grupos'!F58-'Fase de Grupos'!H58),3,0)))</f>
        <v>0</v>
      </c>
    </row>
    <row r="59" spans="1:10" x14ac:dyDescent="0.35">
      <c r="A59" s="2">
        <v>58</v>
      </c>
      <c r="B59" s="2" t="s">
        <v>112</v>
      </c>
      <c r="C59" s="2" t="s">
        <v>128</v>
      </c>
      <c r="D59" s="3" t="s">
        <v>62</v>
      </c>
      <c r="E59" s="4">
        <v>0</v>
      </c>
      <c r="F59" s="2" t="s">
        <v>6</v>
      </c>
      <c r="G59" s="4">
        <v>3</v>
      </c>
      <c r="H59" s="3" t="s">
        <v>54</v>
      </c>
      <c r="I59" s="2" t="str">
        <f>IF(OR(E59="",G59="",'Fase de Grupos'!F59="",'Fase de Grupos'!H59=""),"⏳",IF(AND(E59='Fase de Grupos'!F59,G59='Fase de Grupos'!H59),"✅ Placar exato!",IF(SIGN(E59-G59)=SIGN('Fase de Grupos'!F59-'Fase de Grupos'!H59),"🟡 Acertou resultado","❌ Errou")))</f>
        <v>🟡 Acertou resultado</v>
      </c>
      <c r="J59" s="2">
        <f>IF(OR(E59="",G59="",'Fase de Grupos'!F59="",'Fase de Grupos'!H59=""),"",IF(AND(E59='Fase de Grupos'!F59,G59='Fase de Grupos'!H59),5,IF(SIGN(E59-G59)=SIGN('Fase de Grupos'!F59-'Fase de Grupos'!H59),3,0)))</f>
        <v>3</v>
      </c>
    </row>
    <row r="60" spans="1:10" x14ac:dyDescent="0.35">
      <c r="A60" s="2">
        <v>59</v>
      </c>
      <c r="B60" s="2" t="s">
        <v>112</v>
      </c>
      <c r="C60" s="2" t="s">
        <v>126</v>
      </c>
      <c r="D60" s="3" t="s">
        <v>45</v>
      </c>
      <c r="E60" s="4">
        <v>2</v>
      </c>
      <c r="F60" s="2" t="s">
        <v>6</v>
      </c>
      <c r="G60" s="4">
        <v>2</v>
      </c>
      <c r="H60" s="3" t="s">
        <v>27</v>
      </c>
      <c r="I60" s="2" t="str">
        <f>IF(OR(E60="",G60="",'Fase de Grupos'!F60="",'Fase de Grupos'!H60=""),"⏳",IF(AND(E60='Fase de Grupos'!F60,G60='Fase de Grupos'!H60),"✅ Placar exato!",IF(SIGN(E60-G60)=SIGN('Fase de Grupos'!F60-'Fase de Grupos'!H60),"🟡 Acertou resultado","❌ Errou")))</f>
        <v>❌ Errou</v>
      </c>
      <c r="J60" s="2">
        <f>IF(OR(E60="",G60="",'Fase de Grupos'!F60="",'Fase de Grupos'!H60=""),"",IF(AND(E60='Fase de Grupos'!F60,G60='Fase de Grupos'!H60),5,IF(SIGN(E60-G60)=SIGN('Fase de Grupos'!F60-'Fase de Grupos'!H60),3,0)))</f>
        <v>0</v>
      </c>
    </row>
    <row r="61" spans="1:10" x14ac:dyDescent="0.35">
      <c r="A61" s="2">
        <v>60</v>
      </c>
      <c r="B61" s="2" t="s">
        <v>112</v>
      </c>
      <c r="C61" s="2" t="s">
        <v>126</v>
      </c>
      <c r="D61" s="3" t="s">
        <v>28</v>
      </c>
      <c r="E61" s="4">
        <v>0</v>
      </c>
      <c r="F61" s="2" t="s">
        <v>6</v>
      </c>
      <c r="G61" s="4">
        <v>1</v>
      </c>
      <c r="H61" s="3" t="s">
        <v>44</v>
      </c>
      <c r="I61" s="2" t="str">
        <f>IF(OR(E61="",G61="",'Fase de Grupos'!F61="",'Fase de Grupos'!H61=""),"⏳",IF(AND(E61='Fase de Grupos'!F61,G61='Fase de Grupos'!H61),"✅ Placar exato!",IF(SIGN(E61-G61)=SIGN('Fase de Grupos'!F61-'Fase de Grupos'!H61),"🟡 Acertou resultado","❌ Errou")))</f>
        <v>❌ Errou</v>
      </c>
      <c r="J61" s="2">
        <f>IF(OR(E61="",G61="",'Fase de Grupos'!F61="",'Fase de Grupos'!H61=""),"",IF(AND(E61='Fase de Grupos'!F61,G61='Fase de Grupos'!H61),5,IF(SIGN(E61-G61)=SIGN('Fase de Grupos'!F61-'Fase de Grupos'!H61),3,0)))</f>
        <v>0</v>
      </c>
    </row>
    <row r="62" spans="1:10" x14ac:dyDescent="0.35">
      <c r="A62" s="2">
        <v>61</v>
      </c>
      <c r="B62" s="2" t="s">
        <v>113</v>
      </c>
      <c r="C62" s="2" t="s">
        <v>131</v>
      </c>
      <c r="D62" s="3" t="s">
        <v>84</v>
      </c>
      <c r="E62" s="4">
        <v>4</v>
      </c>
      <c r="F62" s="2" t="s">
        <v>6</v>
      </c>
      <c r="G62" s="4">
        <v>4</v>
      </c>
      <c r="H62" s="3" t="s">
        <v>81</v>
      </c>
      <c r="I62" s="2" t="str">
        <f>IF(OR(E62="",G62="",'Fase de Grupos'!F62="",'Fase de Grupos'!H62=""),"⏳",IF(AND(E62='Fase de Grupos'!F62,G62='Fase de Grupos'!H62),"✅ Placar exato!",IF(SIGN(E62-G62)=SIGN('Fase de Grupos'!F62-'Fase de Grupos'!H62),"🟡 Acertou resultado","❌ Errou")))</f>
        <v>❌ Errou</v>
      </c>
      <c r="J62" s="2">
        <f>IF(OR(E62="",G62="",'Fase de Grupos'!F62="",'Fase de Grupos'!H62=""),"",IF(AND(E62='Fase de Grupos'!F62,G62='Fase de Grupos'!H62),5,IF(SIGN(E62-G62)=SIGN('Fase de Grupos'!F62-'Fase de Grupos'!H62),3,0)))</f>
        <v>0</v>
      </c>
    </row>
    <row r="63" spans="1:10" x14ac:dyDescent="0.35">
      <c r="A63" s="2">
        <v>62</v>
      </c>
      <c r="B63" s="2" t="s">
        <v>113</v>
      </c>
      <c r="C63" s="2" t="s">
        <v>131</v>
      </c>
      <c r="D63" s="3" t="s">
        <v>82</v>
      </c>
      <c r="E63" s="4">
        <v>2</v>
      </c>
      <c r="F63" s="2" t="s">
        <v>6</v>
      </c>
      <c r="G63" s="4">
        <v>0</v>
      </c>
      <c r="H63" s="3" t="s">
        <v>83</v>
      </c>
      <c r="I63" s="2" t="str">
        <f>IF(OR(E63="",G63="",'Fase de Grupos'!F63="",'Fase de Grupos'!H63=""),"⏳",IF(AND(E63='Fase de Grupos'!F63,G63='Fase de Grupos'!H63),"✅ Placar exato!",IF(SIGN(E63-G63)=SIGN('Fase de Grupos'!F63-'Fase de Grupos'!H63),"🟡 Acertou resultado","❌ Errou")))</f>
        <v>🟡 Acertou resultado</v>
      </c>
      <c r="J63" s="2">
        <f>IF(OR(E63="",G63="",'Fase de Grupos'!F63="",'Fase de Grupos'!H63=""),"",IF(AND(E63='Fase de Grupos'!F63,G63='Fase de Grupos'!H63),5,IF(SIGN(E63-G63)=SIGN('Fase de Grupos'!F63-'Fase de Grupos'!H63),3,0)))</f>
        <v>3</v>
      </c>
    </row>
    <row r="64" spans="1:10" x14ac:dyDescent="0.35">
      <c r="A64" s="2">
        <v>63</v>
      </c>
      <c r="B64" s="2" t="s">
        <v>114</v>
      </c>
      <c r="C64" s="2" t="s">
        <v>129</v>
      </c>
      <c r="D64" s="3" t="s">
        <v>72</v>
      </c>
      <c r="E64" s="4">
        <v>1</v>
      </c>
      <c r="F64" s="2" t="s">
        <v>6</v>
      </c>
      <c r="G64" s="4">
        <v>0</v>
      </c>
      <c r="H64" s="3" t="s">
        <v>77</v>
      </c>
      <c r="I64" s="2" t="str">
        <f>IF(OR(E64="",G64="",'Fase de Grupos'!F64="",'Fase de Grupos'!H64=""),"⏳",IF(AND(E64='Fase de Grupos'!F64,G64='Fase de Grupos'!H64),"✅ Placar exato!",IF(SIGN(E64-G64)=SIGN('Fase de Grupos'!F64-'Fase de Grupos'!H64),"🟡 Acertou resultado","❌ Errou")))</f>
        <v>❌ Errou</v>
      </c>
      <c r="J64" s="2">
        <f>IF(OR(E64="",G64="",'Fase de Grupos'!F64="",'Fase de Grupos'!H64=""),"",IF(AND(E64='Fase de Grupos'!F64,G64='Fase de Grupos'!H64),5,IF(SIGN(E64-G64)=SIGN('Fase de Grupos'!F64-'Fase de Grupos'!H64),3,0)))</f>
        <v>0</v>
      </c>
    </row>
    <row r="65" spans="1:10" x14ac:dyDescent="0.35">
      <c r="A65" s="2">
        <v>64</v>
      </c>
      <c r="B65" s="2" t="s">
        <v>114</v>
      </c>
      <c r="C65" s="2" t="s">
        <v>129</v>
      </c>
      <c r="D65" s="3" t="s">
        <v>78</v>
      </c>
      <c r="E65" s="4">
        <v>1</v>
      </c>
      <c r="F65" s="2" t="s">
        <v>6</v>
      </c>
      <c r="G65" s="4">
        <v>1</v>
      </c>
      <c r="H65" s="3" t="s">
        <v>71</v>
      </c>
      <c r="I65" s="2" t="str">
        <f>IF(OR(E65="",G65="",'Fase de Grupos'!F65="",'Fase de Grupos'!H65=""),"⏳",IF(AND(E65='Fase de Grupos'!F65,G65='Fase de Grupos'!H65),"✅ Placar exato!",IF(SIGN(E65-G65)=SIGN('Fase de Grupos'!F65-'Fase de Grupos'!H65),"🟡 Acertou resultado","❌ Errou")))</f>
        <v>❌ Errou</v>
      </c>
      <c r="J65" s="2">
        <f>IF(OR(E65="",G65="",'Fase de Grupos'!F65="",'Fase de Grupos'!H65=""),"",IF(AND(E65='Fase de Grupos'!F65,G65='Fase de Grupos'!H65),5,IF(SIGN(E65-G65)=SIGN('Fase de Grupos'!F65-'Fase de Grupos'!H65),3,0)))</f>
        <v>0</v>
      </c>
    </row>
    <row r="66" spans="1:10" x14ac:dyDescent="0.35">
      <c r="A66" s="2">
        <v>65</v>
      </c>
      <c r="B66" s="2" t="s">
        <v>113</v>
      </c>
      <c r="C66" s="2" t="s">
        <v>130</v>
      </c>
      <c r="D66" s="3" t="s">
        <v>68</v>
      </c>
      <c r="E66" s="4">
        <v>0</v>
      </c>
      <c r="F66" s="2" t="s">
        <v>6</v>
      </c>
      <c r="G66" s="4">
        <v>1</v>
      </c>
      <c r="H66" s="3" t="s">
        <v>74</v>
      </c>
      <c r="I66" s="2" t="str">
        <f>IF(OR(E66="",G66="",'Fase de Grupos'!F66="",'Fase de Grupos'!H66=""),"⏳",IF(AND(E66='Fase de Grupos'!F66,G66='Fase de Grupos'!H66),"✅ Placar exato!",IF(SIGN(E66-G66)=SIGN('Fase de Grupos'!F66-'Fase de Grupos'!H66),"🟡 Acertou resultado","❌ Errou")))</f>
        <v>❌ Errou</v>
      </c>
      <c r="J66" s="2">
        <f>IF(OR(E66="",G66="",'Fase de Grupos'!F66="",'Fase de Grupos'!H66=""),"",IF(AND(E66='Fase de Grupos'!F66,G66='Fase de Grupos'!H66),5,IF(SIGN(E66-G66)=SIGN('Fase de Grupos'!F66-'Fase de Grupos'!H66),3,0)))</f>
        <v>0</v>
      </c>
    </row>
    <row r="67" spans="1:10" x14ac:dyDescent="0.35">
      <c r="A67" s="2">
        <v>66</v>
      </c>
      <c r="B67" s="2" t="s">
        <v>113</v>
      </c>
      <c r="C67" s="2" t="s">
        <v>130</v>
      </c>
      <c r="D67" s="3" t="s">
        <v>75</v>
      </c>
      <c r="E67" s="4">
        <v>2</v>
      </c>
      <c r="F67" s="2" t="s">
        <v>6</v>
      </c>
      <c r="G67" s="4">
        <v>4</v>
      </c>
      <c r="H67" s="3" t="s">
        <v>67</v>
      </c>
      <c r="I67" s="2" t="str">
        <f>IF(OR(E67="",G67="",'Fase de Grupos'!F67="",'Fase de Grupos'!H67=""),"⏳",IF(AND(E67='Fase de Grupos'!F67,G67='Fase de Grupos'!H67),"✅ Placar exato!",IF(SIGN(E67-G67)=SIGN('Fase de Grupos'!F67-'Fase de Grupos'!H67),"🟡 Acertou resultado","❌ Errou")))</f>
        <v>🟡 Acertou resultado</v>
      </c>
      <c r="J67" s="2">
        <f>IF(OR(E67="",G67="",'Fase de Grupos'!F67="",'Fase de Grupos'!H67=""),"",IF(AND(E67='Fase de Grupos'!F67,G67='Fase de Grupos'!H67),5,IF(SIGN(E67-G67)=SIGN('Fase de Grupos'!F67-'Fase de Grupos'!H67),3,0)))</f>
        <v>3</v>
      </c>
    </row>
    <row r="68" spans="1:10" x14ac:dyDescent="0.35">
      <c r="A68" s="2">
        <v>67</v>
      </c>
      <c r="B68" s="2" t="s">
        <v>114</v>
      </c>
      <c r="C68" s="2" t="s">
        <v>134</v>
      </c>
      <c r="D68" s="3" t="s">
        <v>99</v>
      </c>
      <c r="E68" s="4">
        <v>0</v>
      </c>
      <c r="F68" s="2" t="s">
        <v>6</v>
      </c>
      <c r="G68" s="4">
        <v>3</v>
      </c>
      <c r="H68" s="3" t="s">
        <v>96</v>
      </c>
      <c r="I68" s="2" t="str">
        <f>IF(OR(E68="",G68="",'Fase de Grupos'!F68="",'Fase de Grupos'!H68=""),"⏳",IF(AND(E68='Fase de Grupos'!F68,G68='Fase de Grupos'!H68),"✅ Placar exato!",IF(SIGN(E68-G68)=SIGN('Fase de Grupos'!F68-'Fase de Grupos'!H68),"🟡 Acertou resultado","❌ Errou")))</f>
        <v>🟡 Acertou resultado</v>
      </c>
      <c r="J68" s="2">
        <f>IF(OR(E68="",G68="",'Fase de Grupos'!F68="",'Fase de Grupos'!H68=""),"",IF(AND(E68='Fase de Grupos'!F68,G68='Fase de Grupos'!H68),5,IF(SIGN(E68-G68)=SIGN('Fase de Grupos'!F68-'Fase de Grupos'!H68),3,0)))</f>
        <v>3</v>
      </c>
    </row>
    <row r="69" spans="1:10" x14ac:dyDescent="0.35">
      <c r="A69" s="2">
        <v>68</v>
      </c>
      <c r="B69" s="2" t="s">
        <v>114</v>
      </c>
      <c r="C69" s="2" t="s">
        <v>134</v>
      </c>
      <c r="D69" s="3" t="s">
        <v>97</v>
      </c>
      <c r="E69" s="4">
        <v>3</v>
      </c>
      <c r="F69" s="2" t="s">
        <v>6</v>
      </c>
      <c r="G69" s="4">
        <v>3</v>
      </c>
      <c r="H69" s="3" t="s">
        <v>98</v>
      </c>
      <c r="I69" s="2" t="str">
        <f>IF(OR(E69="",G69="",'Fase de Grupos'!F69="",'Fase de Grupos'!H69=""),"⏳",IF(AND(E69='Fase de Grupos'!F69,G69='Fase de Grupos'!H69),"✅ Placar exato!",IF(SIGN(E69-G69)=SIGN('Fase de Grupos'!F69-'Fase de Grupos'!H69),"🟡 Acertou resultado","❌ Errou")))</f>
        <v>❌ Errou</v>
      </c>
      <c r="J69" s="2">
        <f>IF(OR(E69="",G69="",'Fase de Grupos'!F69="",'Fase de Grupos'!H69=""),"",IF(AND(E69='Fase de Grupos'!F69,G69='Fase de Grupos'!H69),5,IF(SIGN(E69-G69)=SIGN('Fase de Grupos'!F69-'Fase de Grupos'!H69),3,0)))</f>
        <v>0</v>
      </c>
    </row>
    <row r="70" spans="1:10" x14ac:dyDescent="0.35">
      <c r="A70" s="2">
        <v>69</v>
      </c>
      <c r="B70" s="2" t="s">
        <v>114</v>
      </c>
      <c r="C70" s="2" t="s">
        <v>132</v>
      </c>
      <c r="D70" s="3" t="s">
        <v>87</v>
      </c>
      <c r="E70" s="4">
        <v>1</v>
      </c>
      <c r="F70" s="2" t="s">
        <v>6</v>
      </c>
      <c r="G70" s="4">
        <v>0</v>
      </c>
      <c r="H70" s="3" t="s">
        <v>90</v>
      </c>
      <c r="I70" s="2" t="str">
        <f>IF(OR(E70="",G70="",'Fase de Grupos'!F70="",'Fase de Grupos'!H70=""),"⏳",IF(AND(E70='Fase de Grupos'!F70,G70='Fase de Grupos'!H70),"✅ Placar exato!",IF(SIGN(E70-G70)=SIGN('Fase de Grupos'!F70-'Fase de Grupos'!H70),"🟡 Acertou resultado","❌ Errou")))</f>
        <v>❌ Errou</v>
      </c>
      <c r="J70" s="2">
        <f>IF(OR(E70="",G70="",'Fase de Grupos'!F70="",'Fase de Grupos'!H70=""),"",IF(AND(E70='Fase de Grupos'!F70,G70='Fase de Grupos'!H70),5,IF(SIGN(E70-G70)=SIGN('Fase de Grupos'!F70-'Fase de Grupos'!H70),3,0)))</f>
        <v>0</v>
      </c>
    </row>
    <row r="71" spans="1:10" x14ac:dyDescent="0.35">
      <c r="A71" s="2">
        <v>70</v>
      </c>
      <c r="B71" s="2" t="s">
        <v>114</v>
      </c>
      <c r="C71" s="2" t="s">
        <v>132</v>
      </c>
      <c r="D71" s="3" t="s">
        <v>91</v>
      </c>
      <c r="E71" s="4">
        <v>1</v>
      </c>
      <c r="F71" s="2" t="s">
        <v>6</v>
      </c>
      <c r="G71" s="4">
        <v>5</v>
      </c>
      <c r="H71" s="3" t="s">
        <v>86</v>
      </c>
      <c r="I71" s="2" t="str">
        <f>IF(OR(E71="",G71="",'Fase de Grupos'!F71="",'Fase de Grupos'!H71=""),"⏳",IF(AND(E71='Fase de Grupos'!F71,G71='Fase de Grupos'!H71),"✅ Placar exato!",IF(SIGN(E71-G71)=SIGN('Fase de Grupos'!F71-'Fase de Grupos'!H71),"🟡 Acertou resultado","❌ Errou")))</f>
        <v>🟡 Acertou resultado</v>
      </c>
      <c r="J71" s="2">
        <f>IF(OR(E71="",G71="",'Fase de Grupos'!F71="",'Fase de Grupos'!H71=""),"",IF(AND(E71='Fase de Grupos'!F71,G71='Fase de Grupos'!H71),5,IF(SIGN(E71-G71)=SIGN('Fase de Grupos'!F71-'Fase de Grupos'!H71),3,0)))</f>
        <v>3</v>
      </c>
    </row>
    <row r="72" spans="1:10" x14ac:dyDescent="0.35">
      <c r="A72" s="2">
        <v>71</v>
      </c>
      <c r="B72" s="2" t="s">
        <v>114</v>
      </c>
      <c r="C72" s="2" t="s">
        <v>133</v>
      </c>
      <c r="D72" s="3" t="s">
        <v>101</v>
      </c>
      <c r="E72" s="4">
        <v>2</v>
      </c>
      <c r="F72" s="2" t="s">
        <v>6</v>
      </c>
      <c r="G72" s="4">
        <v>3</v>
      </c>
      <c r="H72" s="3" t="s">
        <v>93</v>
      </c>
      <c r="I72" s="2" t="str">
        <f>IF(OR(E72="",G72="",'Fase de Grupos'!F72="",'Fase de Grupos'!H72=""),"⏳",IF(AND(E72='Fase de Grupos'!F72,G72='Fase de Grupos'!H72),"✅ Placar exato!",IF(SIGN(E72-G72)=SIGN('Fase de Grupos'!F72-'Fase de Grupos'!H72),"🟡 Acertou resultado","❌ Errou")))</f>
        <v>❌ Errou</v>
      </c>
      <c r="J72" s="2">
        <f>IF(OR(E72="",G72="",'Fase de Grupos'!F72="",'Fase de Grupos'!H72=""),"",IF(AND(E72='Fase de Grupos'!F72,G72='Fase de Grupos'!H72),5,IF(SIGN(E72-G72)=SIGN('Fase de Grupos'!F72-'Fase de Grupos'!H72),3,0)))</f>
        <v>0</v>
      </c>
    </row>
    <row r="73" spans="1:10" x14ac:dyDescent="0.35">
      <c r="A73" s="2">
        <v>72</v>
      </c>
      <c r="B73" s="2" t="s">
        <v>114</v>
      </c>
      <c r="C73" s="2" t="s">
        <v>133</v>
      </c>
      <c r="D73" s="3" t="s">
        <v>94</v>
      </c>
      <c r="E73" s="4">
        <v>1</v>
      </c>
      <c r="F73" s="2" t="s">
        <v>6</v>
      </c>
      <c r="G73" s="4">
        <v>1</v>
      </c>
      <c r="H73" s="3" t="s">
        <v>100</v>
      </c>
      <c r="I73" s="2" t="str">
        <f>IF(OR(E73="",G73="",'Fase de Grupos'!F73="",'Fase de Grupos'!H73=""),"⏳",IF(AND(E73='Fase de Grupos'!F73,G73='Fase de Grupos'!H73),"✅ Placar exato!",IF(SIGN(E73-G73)=SIGN('Fase de Grupos'!F73-'Fase de Grupos'!H73),"🟡 Acertou resultado","❌ Errou")))</f>
        <v>❌ Errou</v>
      </c>
      <c r="J73" s="2">
        <f>IF(OR(E73="",G73="",'Fase de Grupos'!F73="",'Fase de Grupos'!H73=""),"",IF(AND(E73='Fase de Grupos'!F73,G73='Fase de Grupos'!H73),5,IF(SIGN(E73-G73)=SIGN('Fase de Grupos'!F73-'Fase de Grupos'!H73),3,0)))</f>
        <v>0</v>
      </c>
    </row>
    <row r="74" spans="1:10" ht="18.5" x14ac:dyDescent="0.35">
      <c r="A74" s="7"/>
      <c r="B74" s="7"/>
      <c r="C74" s="7"/>
      <c r="D74" s="7"/>
      <c r="E74" s="7"/>
      <c r="F74" s="7"/>
      <c r="G74" s="7"/>
      <c r="H74" s="8" t="s">
        <v>163</v>
      </c>
      <c r="I74" s="7"/>
      <c r="J74" s="9">
        <f>SUM(J2:J73)</f>
        <v>80</v>
      </c>
    </row>
    <row r="75" spans="1:10" x14ac:dyDescent="0.35">
      <c r="H75" s="10" t="s">
        <v>164</v>
      </c>
      <c r="J75" s="11">
        <v>360</v>
      </c>
    </row>
    <row r="77" spans="1:10" ht="17" x14ac:dyDescent="0.35">
      <c r="D77" s="12" t="s">
        <v>165</v>
      </c>
    </row>
    <row r="79" spans="1:10" x14ac:dyDescent="0.35">
      <c r="D79" s="13" t="s">
        <v>166</v>
      </c>
      <c r="E79" s="13" t="s">
        <v>167</v>
      </c>
      <c r="F79" s="13" t="s">
        <v>162</v>
      </c>
    </row>
    <row r="80" spans="1:10" x14ac:dyDescent="0.35">
      <c r="D80" s="14" t="s">
        <v>168</v>
      </c>
      <c r="E80" s="15" t="s">
        <v>169</v>
      </c>
      <c r="F80" s="15" t="s">
        <v>170</v>
      </c>
    </row>
    <row r="81" spans="4:6" x14ac:dyDescent="0.35">
      <c r="D81" s="14" t="s">
        <v>171</v>
      </c>
      <c r="E81" s="15" t="s">
        <v>172</v>
      </c>
      <c r="F81" s="15" t="s">
        <v>173</v>
      </c>
    </row>
    <row r="82" spans="4:6" x14ac:dyDescent="0.35">
      <c r="D82" s="14" t="s">
        <v>174</v>
      </c>
      <c r="E82" s="15" t="s">
        <v>175</v>
      </c>
      <c r="F82" s="15" t="s">
        <v>176</v>
      </c>
    </row>
    <row r="83" spans="4:6" x14ac:dyDescent="0.35">
      <c r="D83" s="14" t="s">
        <v>177</v>
      </c>
      <c r="E83" s="15" t="s">
        <v>178</v>
      </c>
      <c r="F83" s="15" t="s">
        <v>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6"/>
  <sheetViews>
    <sheetView workbookViewId="0">
      <pane ySplit="2" topLeftCell="A3" activePane="bottomLeft" state="frozen"/>
      <selection pane="bottomLeft" activeCell="C7" sqref="C7"/>
    </sheetView>
  </sheetViews>
  <sheetFormatPr defaultRowHeight="14.5" x14ac:dyDescent="0.35"/>
  <cols>
    <col min="1" max="1" width="10" customWidth="1"/>
    <col min="2" max="2" width="20" customWidth="1"/>
    <col min="3" max="3" width="10" customWidth="1"/>
    <col min="4" max="4" width="18" customWidth="1"/>
    <col min="5" max="5" width="20" customWidth="1"/>
    <col min="6" max="6" width="10" customWidth="1"/>
  </cols>
  <sheetData>
    <row r="1" spans="1:6" ht="35" customHeight="1" x14ac:dyDescent="0.35">
      <c r="A1" s="32" t="s">
        <v>180</v>
      </c>
      <c r="B1" s="33"/>
      <c r="C1" s="33"/>
      <c r="D1" s="33"/>
      <c r="E1" s="33"/>
      <c r="F1" s="33"/>
    </row>
    <row r="2" spans="1:6" x14ac:dyDescent="0.35">
      <c r="A2" s="1" t="s">
        <v>181</v>
      </c>
      <c r="B2" s="1" t="s">
        <v>182</v>
      </c>
      <c r="C2" s="1" t="s">
        <v>162</v>
      </c>
      <c r="D2" s="1" t="s">
        <v>183</v>
      </c>
      <c r="E2" s="1" t="s">
        <v>184</v>
      </c>
      <c r="F2" s="1" t="s">
        <v>185</v>
      </c>
    </row>
    <row r="3" spans="1:6" ht="18.5" x14ac:dyDescent="0.35">
      <c r="A3" s="16" t="e">
        <f t="shared" ref="A3:A12" si="0">RANK(C3,$C$3:$C$12,0)</f>
        <v>#VALUE!</v>
      </c>
      <c r="B3" s="17" t="s">
        <v>186</v>
      </c>
      <c r="C3" s="18">
        <f>'Palpites - Andrey'!J74+'Palpites MM - Andrey'!J34</f>
        <v>80</v>
      </c>
      <c r="D3" s="2">
        <f>COUNTIF('Palpites - Andrey'!I2:I73,"✅*")</f>
        <v>1</v>
      </c>
      <c r="E3" s="2">
        <f>COUNTIF('Palpites - Andrey'!I2:I73,"🟡*")</f>
        <v>25</v>
      </c>
      <c r="F3" s="2">
        <f>COUNTIF('Palpites - Nataniele'!I2:I73,"❌*")</f>
        <v>36</v>
      </c>
    </row>
    <row r="4" spans="1:6" ht="18.5" x14ac:dyDescent="0.35">
      <c r="A4" s="16" t="e">
        <f t="shared" si="0"/>
        <v>#VALUE!</v>
      </c>
      <c r="B4" s="17" t="s">
        <v>198</v>
      </c>
      <c r="C4" s="18">
        <f>'Palpites - Nataniele'!J74</f>
        <v>120</v>
      </c>
      <c r="D4" s="2">
        <f>COUNTIF('Palpites - Nataniele'!I2:I73,"✅*")</f>
        <v>6</v>
      </c>
      <c r="E4" s="2">
        <f>COUNTIF('Palpites - Nataniele'!I2:I73,"🟡*")</f>
        <v>30</v>
      </c>
      <c r="F4" s="2">
        <f>COUNTIF('Palpites - Nataniele'!I2:I73,"❌*")</f>
        <v>36</v>
      </c>
    </row>
    <row r="5" spans="1:6" ht="18.5" x14ac:dyDescent="0.35">
      <c r="A5" s="16" t="e">
        <f t="shared" si="0"/>
        <v>#VALUE!</v>
      </c>
      <c r="B5" s="17" t="s">
        <v>187</v>
      </c>
      <c r="C5" s="18">
        <f>'Palpites - Candido'!J74</f>
        <v>102</v>
      </c>
      <c r="D5" s="2">
        <f>COUNTIF('Palpites - Candido'!I2:I73,"✅*")</f>
        <v>3</v>
      </c>
      <c r="E5" s="2">
        <f>COUNTIF('Palpites - Candido'!I2:I73,"🟡*")</f>
        <v>29</v>
      </c>
      <c r="F5" s="2">
        <f>COUNTIF('Palpites - Candido'!I2:I73,"❌*")</f>
        <v>40</v>
      </c>
    </row>
    <row r="6" spans="1:6" ht="18.5" x14ac:dyDescent="0.35">
      <c r="A6" s="16" t="e">
        <f t="shared" si="0"/>
        <v>#VALUE!</v>
      </c>
      <c r="B6" s="17" t="s">
        <v>188</v>
      </c>
      <c r="C6" s="18" t="e">
        <f>'Palpites - Cosman'!J74+'Palpites MM - Cosman'!J34</f>
        <v>#VALUE!</v>
      </c>
      <c r="D6" s="2">
        <f>COUNTIF('Palpites - Cosman'!I2:I73,"✅*")</f>
        <v>8</v>
      </c>
      <c r="E6" s="2">
        <f>COUNTIF('Palpites - Cosman'!I2:I73,"🟡*")</f>
        <v>25</v>
      </c>
      <c r="F6" s="2">
        <f>COUNTIF('Palpites - Cosman'!I2:I73,"❌*")</f>
        <v>39</v>
      </c>
    </row>
    <row r="7" spans="1:6" ht="18.5" x14ac:dyDescent="0.35">
      <c r="A7" s="16" t="e">
        <f t="shared" si="0"/>
        <v>#VALUE!</v>
      </c>
      <c r="B7" s="17" t="s">
        <v>189</v>
      </c>
      <c r="C7" s="18">
        <f>'Palpites - Eliana'!J74</f>
        <v>114</v>
      </c>
      <c r="D7" s="2">
        <f>COUNTIF('Palpites - Eliana'!I2:I73,"✅*")</f>
        <v>6</v>
      </c>
      <c r="E7" s="2">
        <f>COUNTIF('Palpites - Eliana'!I2:I73,"🟡*")</f>
        <v>28</v>
      </c>
      <c r="F7" s="2">
        <f>COUNTIF('Palpites - Eliana'!I2:I73,"❌*")</f>
        <v>38</v>
      </c>
    </row>
    <row r="8" spans="1:6" ht="18.5" x14ac:dyDescent="0.35">
      <c r="A8" s="16" t="e">
        <f t="shared" si="0"/>
        <v>#VALUE!</v>
      </c>
      <c r="B8" s="17" t="s">
        <v>190</v>
      </c>
      <c r="C8" s="18">
        <f>'Palpites - Isac'!J74</f>
        <v>119</v>
      </c>
      <c r="D8" s="2">
        <f>COUNTIF('Palpites - Isac'!I2:I73,"✅*")</f>
        <v>4</v>
      </c>
      <c r="E8" s="2">
        <f>COUNTIF('Palpites - Isac'!I2:I73,"🟡*")</f>
        <v>33</v>
      </c>
      <c r="F8" s="2">
        <f>COUNTIF('Palpites - Isac'!I2:I73,"❌*")</f>
        <v>35</v>
      </c>
    </row>
    <row r="9" spans="1:6" ht="18.5" x14ac:dyDescent="0.35">
      <c r="A9" s="16" t="e">
        <f t="shared" si="0"/>
        <v>#VALUE!</v>
      </c>
      <c r="B9" s="17" t="s">
        <v>191</v>
      </c>
      <c r="C9" s="18">
        <f>'Palpites - Lona'!J74</f>
        <v>97</v>
      </c>
      <c r="D9" s="2">
        <f>COUNTIF('Palpites - Lona'!I2:I73,"✅*")</f>
        <v>2</v>
      </c>
      <c r="E9" s="2">
        <f>COUNTIF('Palpites - Lona'!I2:I73,"🟡*")</f>
        <v>29</v>
      </c>
      <c r="F9" s="2">
        <f>COUNTIF('Palpites - Lona'!I2:I73,"❌*")</f>
        <v>41</v>
      </c>
    </row>
    <row r="10" spans="1:6" ht="18.5" x14ac:dyDescent="0.35">
      <c r="A10" s="16" t="e">
        <f t="shared" si="0"/>
        <v>#VALUE!</v>
      </c>
      <c r="B10" s="17" t="s">
        <v>192</v>
      </c>
      <c r="C10" s="18">
        <f>'Palpites - PC'!J74</f>
        <v>142</v>
      </c>
      <c r="D10" s="2">
        <f>COUNTIF('Palpites - PC'!I2:I73,"✅*")</f>
        <v>8</v>
      </c>
      <c r="E10" s="2">
        <f>COUNTIF('Palpites - PC'!I2:I73,"🟡*")</f>
        <v>34</v>
      </c>
      <c r="F10" s="2">
        <f>COUNTIF('Palpites - PC'!I2:I73,"❌*")</f>
        <v>30</v>
      </c>
    </row>
    <row r="11" spans="1:6" ht="18.5" x14ac:dyDescent="0.35">
      <c r="A11" s="16" t="e">
        <f t="shared" si="0"/>
        <v>#VALUE!</v>
      </c>
      <c r="B11" s="17" t="s">
        <v>193</v>
      </c>
      <c r="C11" s="18">
        <f>'Palpites - Sandra'!J74</f>
        <v>114</v>
      </c>
      <c r="D11" s="2">
        <f>COUNTIF('Palpites - Sandra'!I2:I73,"✅*")</f>
        <v>3</v>
      </c>
      <c r="E11" s="2">
        <f>COUNTIF('Palpites - Sandra'!I2:I73,"🟡*")</f>
        <v>33</v>
      </c>
      <c r="F11" s="2">
        <f>COUNTIF('Palpites - Sandra'!I2:I73,"❌*")</f>
        <v>36</v>
      </c>
    </row>
    <row r="12" spans="1:6" ht="18.5" x14ac:dyDescent="0.35">
      <c r="A12" s="16" t="e">
        <f t="shared" si="0"/>
        <v>#VALUE!</v>
      </c>
      <c r="B12" s="17" t="s">
        <v>194</v>
      </c>
      <c r="C12" s="18">
        <f>'Palpites - Vania'!J74</f>
        <v>115</v>
      </c>
      <c r="D12" s="2">
        <f>COUNTIF('Palpites - Vania'!I2:I73,"✅*")</f>
        <v>5</v>
      </c>
      <c r="E12" s="2">
        <f>COUNTIF('Palpites - Vania'!I2:I73,"🟡*")</f>
        <v>30</v>
      </c>
      <c r="F12" s="2">
        <f>COUNTIF('Palpites - Vania'!I2:I73,"❌*")</f>
        <v>33</v>
      </c>
    </row>
    <row r="14" spans="1:6" x14ac:dyDescent="0.35">
      <c r="A14" s="34" t="s">
        <v>195</v>
      </c>
      <c r="B14" s="33"/>
      <c r="C14" s="33"/>
      <c r="D14" s="33"/>
      <c r="E14" s="33"/>
      <c r="F14" s="33"/>
    </row>
    <row r="16" spans="1:6" x14ac:dyDescent="0.35">
      <c r="A16" s="35" t="s">
        <v>196</v>
      </c>
      <c r="B16" s="33"/>
      <c r="C16" s="33"/>
      <c r="D16" s="33"/>
      <c r="E16" s="33"/>
      <c r="F16" s="33"/>
    </row>
  </sheetData>
  <mergeCells count="3">
    <mergeCell ref="A1:F1"/>
    <mergeCell ref="A14:F14"/>
    <mergeCell ref="A16:F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3060-A6E7-42DA-AE1F-2A35FB162B69}">
  <dimension ref="A1:J43"/>
  <sheetViews>
    <sheetView workbookViewId="0">
      <pane ySplit="1" topLeftCell="A2" activePane="bottomLeft" state="frozen"/>
      <selection activeCell="G8" sqref="G8:I8"/>
      <selection pane="bottomLeft" activeCell="J2" sqref="J2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9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1</v>
      </c>
      <c r="F2" s="2" t="s">
        <v>6</v>
      </c>
      <c r="G2" s="4">
        <v>2</v>
      </c>
      <c r="H2" s="3" t="s">
        <v>22</v>
      </c>
      <c r="I2" s="2" t="s">
        <v>178</v>
      </c>
      <c r="J2" s="2" t="e">
        <f>IF(OR(E2="",G2="",'Mata-Mata'!F2="",'Mata-Mata'!H2=""),"",IF(AND(E2='Mata-Mata'!F2,G2='Mata-Mata'!H2),5,IF(SIGN(E2-G2)=SIGN('Mata-Mata'!F2-'Mata-Mata'!H2),3,0)))</f>
        <v>#VALUE!</v>
      </c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 t="e">
        <f>SUM(J2:J33)</f>
        <v>#VALUE!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E169-310E-4FF9-B6B4-A248F41BC4AD}">
  <dimension ref="A1:J43"/>
  <sheetViews>
    <sheetView workbookViewId="0">
      <pane ySplit="1" topLeftCell="A23" activePane="bottomLeft" state="frozen"/>
      <selection activeCell="G8" sqref="G8:I8"/>
      <selection pane="bottomLeft" activeCell="F2" sqref="F2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2</v>
      </c>
      <c r="F2" s="2" t="s">
        <v>6</v>
      </c>
      <c r="G2" s="4">
        <v>2</v>
      </c>
      <c r="H2" s="3" t="s">
        <v>22</v>
      </c>
      <c r="I2" s="2" t="s">
        <v>178</v>
      </c>
      <c r="J2" s="2"/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>
        <v>0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A81D-7841-4201-9639-5DA75EC900F0}">
  <dimension ref="A1:J43"/>
  <sheetViews>
    <sheetView workbookViewId="0">
      <pane ySplit="1" topLeftCell="A2" activePane="bottomLeft" state="frozen"/>
      <selection sqref="A1:XFD1048576"/>
      <selection pane="bottomLeft" activeCell="F2" sqref="F2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0</v>
      </c>
      <c r="F2" s="2" t="s">
        <v>6</v>
      </c>
      <c r="G2" s="4">
        <v>2</v>
      </c>
      <c r="H2" s="3" t="s">
        <v>22</v>
      </c>
      <c r="I2" s="2" t="s">
        <v>178</v>
      </c>
      <c r="J2" s="2"/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>
        <v>0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3FE9-D91B-4EE2-8FCF-2F418D0BAE1C}">
  <dimension ref="A1:J43"/>
  <sheetViews>
    <sheetView workbookViewId="0">
      <pane ySplit="1" topLeftCell="A2" activePane="bottomLeft" state="frozen"/>
      <selection sqref="A1:XFD1048576"/>
      <selection pane="bottomLeft" activeCell="F3" sqref="F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0</v>
      </c>
      <c r="F2" s="2" t="s">
        <v>6</v>
      </c>
      <c r="G2" s="4">
        <v>2</v>
      </c>
      <c r="H2" s="3" t="s">
        <v>22</v>
      </c>
      <c r="I2" s="2" t="s">
        <v>178</v>
      </c>
      <c r="J2" s="2"/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>
        <v>0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373B-BDFF-4625-A5BE-421A02D0EEE9}">
  <dimension ref="A1:J43"/>
  <sheetViews>
    <sheetView workbookViewId="0">
      <pane ySplit="1" topLeftCell="A2" activePane="bottomLeft" state="frozen"/>
      <selection sqref="A1:XFD1048576"/>
      <selection pane="bottomLeft" activeCell="F2" sqref="F2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0</v>
      </c>
      <c r="F2" s="2" t="s">
        <v>6</v>
      </c>
      <c r="G2" s="4">
        <v>2</v>
      </c>
      <c r="H2" s="3" t="s">
        <v>22</v>
      </c>
      <c r="I2" s="2" t="s">
        <v>178</v>
      </c>
      <c r="J2" s="2"/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>
        <v>0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9353-AE84-446D-8964-EF4AFCDD8767}">
  <dimension ref="A1:J43"/>
  <sheetViews>
    <sheetView workbookViewId="0">
      <pane ySplit="1" topLeftCell="A2" activePane="bottomLeft" state="frozen"/>
      <selection sqref="A1:XFD1048576"/>
      <selection pane="bottomLeft" activeCell="G3" sqref="G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0</v>
      </c>
      <c r="F2" s="2" t="s">
        <v>6</v>
      </c>
      <c r="G2" s="4">
        <v>2</v>
      </c>
      <c r="H2" s="3" t="s">
        <v>22</v>
      </c>
      <c r="I2" s="2" t="s">
        <v>178</v>
      </c>
      <c r="J2" s="2"/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>
        <v>0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4B4E-1322-4C8E-A257-3FE00DC20D23}">
  <dimension ref="A1:J43"/>
  <sheetViews>
    <sheetView workbookViewId="0">
      <pane ySplit="1" topLeftCell="A2" activePane="bottomLeft" state="frozen"/>
      <selection activeCell="G8" sqref="G8:I8"/>
      <selection pane="bottomLeft" activeCell="F3" sqref="F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2</v>
      </c>
      <c r="F2" s="2" t="s">
        <v>6</v>
      </c>
      <c r="G2" s="4">
        <v>1</v>
      </c>
      <c r="H2" s="3" t="s">
        <v>22</v>
      </c>
      <c r="I2" s="2" t="s">
        <v>178</v>
      </c>
      <c r="J2" s="2"/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>
        <v>0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26B4-1362-4967-ABB8-E5CA8A6AAB9F}">
  <dimension ref="A1:J43"/>
  <sheetViews>
    <sheetView workbookViewId="0">
      <pane ySplit="1" topLeftCell="A2" activePane="bottomLeft" state="frozen"/>
      <selection sqref="A1:XFD1048576"/>
      <selection pane="bottomLeft" activeCell="G2" sqref="G2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1</v>
      </c>
      <c r="F2" s="2" t="s">
        <v>6</v>
      </c>
      <c r="G2" s="4">
        <v>3</v>
      </c>
      <c r="H2" s="3" t="s">
        <v>22</v>
      </c>
      <c r="I2" s="2" t="s">
        <v>178</v>
      </c>
      <c r="J2" s="2"/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>
        <v>0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035F-0EFA-49ED-A038-1474B5AE47A2}">
  <dimension ref="A1:J43"/>
  <sheetViews>
    <sheetView workbookViewId="0">
      <pane ySplit="1" topLeftCell="A2" activePane="bottomLeft" state="frozen"/>
      <selection sqref="A1:XFD1048576"/>
      <selection pane="bottomLeft" activeCell="G2" sqref="G2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1</v>
      </c>
      <c r="F2" s="2" t="s">
        <v>6</v>
      </c>
      <c r="G2" s="4">
        <v>2</v>
      </c>
      <c r="H2" s="3" t="s">
        <v>22</v>
      </c>
      <c r="I2" s="2" t="s">
        <v>178</v>
      </c>
      <c r="J2" s="2"/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>
        <v>0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E03E-1F9D-404D-BC96-1231505895FF}">
  <dimension ref="A1:J43"/>
  <sheetViews>
    <sheetView workbookViewId="0">
      <pane ySplit="1" topLeftCell="A2" activePane="bottomLeft" state="frozen"/>
      <selection sqref="A1:XFD1048576"/>
      <selection pane="bottomLeft" activeCell="L3" sqref="L3"/>
    </sheetView>
  </sheetViews>
  <sheetFormatPr defaultRowHeight="14.5" x14ac:dyDescent="0.35"/>
  <cols>
    <col min="1" max="1" width="8" customWidth="1"/>
    <col min="2" max="3" width="10" customWidth="1"/>
    <col min="4" max="4" width="25" customWidth="1"/>
    <col min="5" max="5" width="10" customWidth="1"/>
    <col min="6" max="6" width="4" customWidth="1"/>
    <col min="7" max="7" width="10" customWidth="1"/>
    <col min="8" max="8" width="28" customWidth="1"/>
    <col min="9" max="9" width="22" customWidth="1"/>
    <col min="10" max="10" width="10" customWidth="1"/>
  </cols>
  <sheetData>
    <row r="1" spans="1:10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159</v>
      </c>
      <c r="F1" s="1" t="s">
        <v>6</v>
      </c>
      <c r="G1" s="1" t="s">
        <v>160</v>
      </c>
      <c r="H1" s="1" t="s">
        <v>8</v>
      </c>
      <c r="I1" s="1" t="s">
        <v>161</v>
      </c>
      <c r="J1" s="1" t="s">
        <v>162</v>
      </c>
    </row>
    <row r="2" spans="1:10" x14ac:dyDescent="0.35">
      <c r="A2" s="2">
        <v>73</v>
      </c>
      <c r="B2" s="2" t="s">
        <v>197</v>
      </c>
      <c r="C2" s="2" t="s">
        <v>136</v>
      </c>
      <c r="D2" s="3" t="s">
        <v>199</v>
      </c>
      <c r="E2" s="4">
        <v>1</v>
      </c>
      <c r="F2" s="2" t="s">
        <v>6</v>
      </c>
      <c r="G2" s="4">
        <v>2</v>
      </c>
      <c r="H2" s="3" t="s">
        <v>22</v>
      </c>
      <c r="I2" s="2" t="s">
        <v>178</v>
      </c>
      <c r="J2" s="2"/>
    </row>
    <row r="3" spans="1:10" x14ac:dyDescent="0.35">
      <c r="A3" s="2">
        <v>74</v>
      </c>
      <c r="B3" s="2" t="s">
        <v>197</v>
      </c>
      <c r="C3" s="2" t="s">
        <v>138</v>
      </c>
      <c r="D3" s="3" t="s">
        <v>36</v>
      </c>
      <c r="E3" s="4"/>
      <c r="F3" s="2" t="s">
        <v>6</v>
      </c>
      <c r="G3" s="4"/>
      <c r="H3" s="3" t="s">
        <v>55</v>
      </c>
      <c r="I3" s="2" t="s">
        <v>178</v>
      </c>
      <c r="J3" s="2"/>
    </row>
    <row r="4" spans="1:10" x14ac:dyDescent="0.35">
      <c r="A4" s="2">
        <v>75</v>
      </c>
      <c r="B4" s="2" t="s">
        <v>197</v>
      </c>
      <c r="C4" s="2" t="s">
        <v>138</v>
      </c>
      <c r="D4" s="3" t="s">
        <v>49</v>
      </c>
      <c r="E4" s="4"/>
      <c r="F4" s="2" t="s">
        <v>6</v>
      </c>
      <c r="G4" s="4"/>
      <c r="H4" s="3" t="s">
        <v>28</v>
      </c>
      <c r="I4" s="2" t="s">
        <v>178</v>
      </c>
      <c r="J4" s="2"/>
    </row>
    <row r="5" spans="1:10" x14ac:dyDescent="0.35">
      <c r="A5" s="2">
        <v>76</v>
      </c>
      <c r="B5" s="2" t="s">
        <v>197</v>
      </c>
      <c r="C5" s="2" t="s">
        <v>138</v>
      </c>
      <c r="D5" s="3" t="s">
        <v>54</v>
      </c>
      <c r="E5" s="4"/>
      <c r="F5" s="2" t="s">
        <v>6</v>
      </c>
      <c r="G5" s="4"/>
      <c r="H5" s="3" t="s">
        <v>37</v>
      </c>
      <c r="I5" s="2" t="s">
        <v>178</v>
      </c>
      <c r="J5" s="2"/>
    </row>
    <row r="6" spans="1:10" x14ac:dyDescent="0.35">
      <c r="A6" s="2">
        <v>77</v>
      </c>
      <c r="B6" s="2" t="s">
        <v>197</v>
      </c>
      <c r="C6" s="2" t="s">
        <v>139</v>
      </c>
      <c r="D6" s="3" t="s">
        <v>58</v>
      </c>
      <c r="E6" s="4"/>
      <c r="F6" s="2" t="s">
        <v>6</v>
      </c>
      <c r="G6" s="4"/>
      <c r="H6" s="3" t="s">
        <v>84</v>
      </c>
      <c r="I6" s="2" t="s">
        <v>178</v>
      </c>
      <c r="J6" s="2"/>
    </row>
    <row r="7" spans="1:10" x14ac:dyDescent="0.35">
      <c r="A7" s="2">
        <v>78</v>
      </c>
      <c r="B7" s="2" t="s">
        <v>197</v>
      </c>
      <c r="C7" s="2" t="s">
        <v>139</v>
      </c>
      <c r="D7" s="3" t="s">
        <v>81</v>
      </c>
      <c r="E7" s="4"/>
      <c r="F7" s="2" t="s">
        <v>6</v>
      </c>
      <c r="G7" s="4"/>
      <c r="H7" s="3" t="s">
        <v>61</v>
      </c>
      <c r="I7" s="2" t="s">
        <v>178</v>
      </c>
      <c r="J7" s="2"/>
    </row>
    <row r="8" spans="1:10" x14ac:dyDescent="0.35">
      <c r="A8" s="2">
        <v>79</v>
      </c>
      <c r="B8" s="2" t="s">
        <v>197</v>
      </c>
      <c r="C8" s="2" t="s">
        <v>139</v>
      </c>
      <c r="D8" s="3" t="s">
        <v>13</v>
      </c>
      <c r="E8" s="4"/>
      <c r="F8" s="2" t="s">
        <v>6</v>
      </c>
      <c r="G8" s="4"/>
      <c r="H8" s="3" t="s">
        <v>59</v>
      </c>
      <c r="I8" s="2" t="s">
        <v>178</v>
      </c>
      <c r="J8" s="2"/>
    </row>
    <row r="9" spans="1:10" x14ac:dyDescent="0.35">
      <c r="A9" s="2">
        <v>80</v>
      </c>
      <c r="B9" s="2" t="s">
        <v>197</v>
      </c>
      <c r="C9" s="2" t="s">
        <v>140</v>
      </c>
      <c r="D9" s="3" t="s">
        <v>96</v>
      </c>
      <c r="E9" s="4"/>
      <c r="F9" s="2" t="s">
        <v>6</v>
      </c>
      <c r="G9" s="4"/>
      <c r="H9" s="3" t="s">
        <v>200</v>
      </c>
      <c r="I9" s="2" t="s">
        <v>178</v>
      </c>
      <c r="J9" s="2"/>
    </row>
    <row r="10" spans="1:10" x14ac:dyDescent="0.35">
      <c r="A10" s="2">
        <v>81</v>
      </c>
      <c r="B10" s="2" t="s">
        <v>197</v>
      </c>
      <c r="C10" s="2" t="s">
        <v>140</v>
      </c>
      <c r="D10" s="3" t="s">
        <v>71</v>
      </c>
      <c r="E10" s="4"/>
      <c r="F10" s="2" t="s">
        <v>6</v>
      </c>
      <c r="G10" s="4"/>
      <c r="H10" s="3" t="s">
        <v>82</v>
      </c>
      <c r="I10" s="2" t="s">
        <v>178</v>
      </c>
      <c r="J10" s="2"/>
    </row>
    <row r="11" spans="1:10" x14ac:dyDescent="0.35">
      <c r="A11" s="2">
        <v>82</v>
      </c>
      <c r="B11" s="2" t="s">
        <v>197</v>
      </c>
      <c r="C11" s="2" t="s">
        <v>140</v>
      </c>
      <c r="D11" s="3" t="s">
        <v>201</v>
      </c>
      <c r="E11" s="4"/>
      <c r="F11" s="2" t="s">
        <v>6</v>
      </c>
      <c r="G11" s="4"/>
      <c r="H11" s="3" t="s">
        <v>202</v>
      </c>
      <c r="I11" s="2" t="s">
        <v>178</v>
      </c>
      <c r="J11" s="2"/>
    </row>
    <row r="12" spans="1:10" x14ac:dyDescent="0.35">
      <c r="A12" s="2">
        <v>83</v>
      </c>
      <c r="B12" s="2" t="s">
        <v>197</v>
      </c>
      <c r="C12" s="2" t="s">
        <v>141</v>
      </c>
      <c r="D12" s="3" t="s">
        <v>67</v>
      </c>
      <c r="E12" s="4"/>
      <c r="F12" s="2" t="s">
        <v>6</v>
      </c>
      <c r="G12" s="4"/>
      <c r="H12" s="3" t="s">
        <v>90</v>
      </c>
      <c r="I12" s="2" t="s">
        <v>178</v>
      </c>
      <c r="J12" s="2"/>
    </row>
    <row r="13" spans="1:10" x14ac:dyDescent="0.35">
      <c r="A13" s="2">
        <v>84</v>
      </c>
      <c r="B13" s="2" t="s">
        <v>197</v>
      </c>
      <c r="C13" s="2" t="s">
        <v>141</v>
      </c>
      <c r="D13" s="3" t="s">
        <v>93</v>
      </c>
      <c r="E13" s="4"/>
      <c r="F13" s="2" t="s">
        <v>6</v>
      </c>
      <c r="G13" s="4"/>
      <c r="H13" s="3" t="s">
        <v>97</v>
      </c>
      <c r="I13" s="2" t="s">
        <v>178</v>
      </c>
      <c r="J13" s="2"/>
    </row>
    <row r="14" spans="1:10" x14ac:dyDescent="0.35">
      <c r="A14" s="2">
        <v>85</v>
      </c>
      <c r="B14" s="2" t="s">
        <v>197</v>
      </c>
      <c r="C14" s="2" t="s">
        <v>142</v>
      </c>
      <c r="D14" s="3" t="s">
        <v>32</v>
      </c>
      <c r="E14" s="4"/>
      <c r="F14" s="2" t="s">
        <v>6</v>
      </c>
      <c r="G14" s="4"/>
      <c r="H14" s="3" t="s">
        <v>87</v>
      </c>
      <c r="I14" s="2" t="s">
        <v>178</v>
      </c>
      <c r="J14" s="2"/>
    </row>
    <row r="15" spans="1:10" x14ac:dyDescent="0.35">
      <c r="A15" s="2">
        <v>86</v>
      </c>
      <c r="B15" s="2" t="s">
        <v>197</v>
      </c>
      <c r="C15" s="2" t="s">
        <v>142</v>
      </c>
      <c r="D15" s="3" t="s">
        <v>44</v>
      </c>
      <c r="E15" s="4"/>
      <c r="F15" s="2" t="s">
        <v>6</v>
      </c>
      <c r="G15" s="4"/>
      <c r="H15" s="3" t="s">
        <v>72</v>
      </c>
      <c r="I15" s="2" t="s">
        <v>178</v>
      </c>
      <c r="J15" s="2"/>
    </row>
    <row r="16" spans="1:10" x14ac:dyDescent="0.35">
      <c r="A16" s="2">
        <v>87</v>
      </c>
      <c r="B16" s="2" t="s">
        <v>197</v>
      </c>
      <c r="C16" s="2" t="s">
        <v>142</v>
      </c>
      <c r="D16" s="3" t="s">
        <v>86</v>
      </c>
      <c r="E16" s="4"/>
      <c r="F16" s="2" t="s">
        <v>6</v>
      </c>
      <c r="G16" s="4"/>
      <c r="H16" s="3" t="s">
        <v>68</v>
      </c>
      <c r="I16" s="2" t="s">
        <v>178</v>
      </c>
      <c r="J16" s="2"/>
    </row>
    <row r="17" spans="1:10" x14ac:dyDescent="0.35">
      <c r="A17" s="2">
        <v>88</v>
      </c>
      <c r="B17" s="2" t="s">
        <v>197</v>
      </c>
      <c r="C17" s="2" t="s">
        <v>142</v>
      </c>
      <c r="D17" s="3" t="s">
        <v>101</v>
      </c>
      <c r="E17" s="4"/>
      <c r="F17" s="2" t="s">
        <v>6</v>
      </c>
      <c r="G17" s="4"/>
      <c r="H17" s="3" t="s">
        <v>98</v>
      </c>
      <c r="I17" s="2" t="s">
        <v>178</v>
      </c>
      <c r="J17" s="2"/>
    </row>
    <row r="18" spans="1:10" x14ac:dyDescent="0.35">
      <c r="A18" s="2">
        <v>89</v>
      </c>
      <c r="B18" s="2" t="s">
        <v>143</v>
      </c>
      <c r="C18" s="2" t="s">
        <v>144</v>
      </c>
      <c r="D18" s="3" t="s">
        <v>137</v>
      </c>
      <c r="E18" s="4"/>
      <c r="F18" s="2" t="s">
        <v>6</v>
      </c>
      <c r="G18" s="4"/>
      <c r="H18" s="3" t="s">
        <v>137</v>
      </c>
      <c r="I18" s="2" t="s">
        <v>178</v>
      </c>
      <c r="J18" s="2"/>
    </row>
    <row r="19" spans="1:10" x14ac:dyDescent="0.35">
      <c r="A19" s="2">
        <v>90</v>
      </c>
      <c r="B19" s="2" t="s">
        <v>143</v>
      </c>
      <c r="C19" s="2" t="s">
        <v>144</v>
      </c>
      <c r="D19" s="3" t="s">
        <v>137</v>
      </c>
      <c r="E19" s="4"/>
      <c r="F19" s="2" t="s">
        <v>6</v>
      </c>
      <c r="G19" s="4"/>
      <c r="H19" s="3" t="s">
        <v>137</v>
      </c>
      <c r="I19" s="2" t="s">
        <v>178</v>
      </c>
      <c r="J19" s="2"/>
    </row>
    <row r="20" spans="1:10" x14ac:dyDescent="0.35">
      <c r="A20" s="2">
        <v>91</v>
      </c>
      <c r="B20" s="2" t="s">
        <v>143</v>
      </c>
      <c r="C20" s="2" t="s">
        <v>145</v>
      </c>
      <c r="D20" s="3" t="s">
        <v>137</v>
      </c>
      <c r="E20" s="4"/>
      <c r="F20" s="2" t="s">
        <v>6</v>
      </c>
      <c r="G20" s="4"/>
      <c r="H20" s="3" t="s">
        <v>137</v>
      </c>
      <c r="I20" s="2" t="s">
        <v>178</v>
      </c>
      <c r="J20" s="2"/>
    </row>
    <row r="21" spans="1:10" x14ac:dyDescent="0.35">
      <c r="A21" s="2">
        <v>92</v>
      </c>
      <c r="B21" s="2" t="s">
        <v>143</v>
      </c>
      <c r="C21" s="2" t="s">
        <v>145</v>
      </c>
      <c r="D21" s="3" t="s">
        <v>137</v>
      </c>
      <c r="E21" s="4"/>
      <c r="F21" s="2" t="s">
        <v>6</v>
      </c>
      <c r="G21" s="4"/>
      <c r="H21" s="3" t="s">
        <v>137</v>
      </c>
      <c r="I21" s="2" t="s">
        <v>178</v>
      </c>
      <c r="J21" s="2"/>
    </row>
    <row r="22" spans="1:10" x14ac:dyDescent="0.35">
      <c r="A22" s="2">
        <v>93</v>
      </c>
      <c r="B22" s="2" t="s">
        <v>143</v>
      </c>
      <c r="C22" s="2" t="s">
        <v>146</v>
      </c>
      <c r="D22" s="3" t="s">
        <v>137</v>
      </c>
      <c r="E22" s="4"/>
      <c r="F22" s="2" t="s">
        <v>6</v>
      </c>
      <c r="G22" s="4"/>
      <c r="H22" s="3" t="s">
        <v>137</v>
      </c>
      <c r="I22" s="2" t="s">
        <v>178</v>
      </c>
      <c r="J22" s="2"/>
    </row>
    <row r="23" spans="1:10" x14ac:dyDescent="0.35">
      <c r="A23" s="2">
        <v>94</v>
      </c>
      <c r="B23" s="2" t="s">
        <v>143</v>
      </c>
      <c r="C23" s="2" t="s">
        <v>146</v>
      </c>
      <c r="D23" s="3" t="s">
        <v>137</v>
      </c>
      <c r="E23" s="4"/>
      <c r="F23" s="2" t="s">
        <v>6</v>
      </c>
      <c r="G23" s="4"/>
      <c r="H23" s="3" t="s">
        <v>137</v>
      </c>
      <c r="I23" s="2" t="s">
        <v>178</v>
      </c>
      <c r="J23" s="2"/>
    </row>
    <row r="24" spans="1:10" x14ac:dyDescent="0.35">
      <c r="A24" s="2">
        <v>95</v>
      </c>
      <c r="B24" s="2" t="s">
        <v>143</v>
      </c>
      <c r="C24" s="2" t="s">
        <v>147</v>
      </c>
      <c r="D24" s="3" t="s">
        <v>137</v>
      </c>
      <c r="E24" s="4"/>
      <c r="F24" s="2" t="s">
        <v>6</v>
      </c>
      <c r="G24" s="4"/>
      <c r="H24" s="3" t="s">
        <v>137</v>
      </c>
      <c r="I24" s="2" t="s">
        <v>178</v>
      </c>
      <c r="J24" s="2"/>
    </row>
    <row r="25" spans="1:10" x14ac:dyDescent="0.35">
      <c r="A25" s="2">
        <v>96</v>
      </c>
      <c r="B25" s="2" t="s">
        <v>143</v>
      </c>
      <c r="C25" s="2" t="s">
        <v>147</v>
      </c>
      <c r="D25" s="3" t="s">
        <v>137</v>
      </c>
      <c r="E25" s="4"/>
      <c r="F25" s="2" t="s">
        <v>6</v>
      </c>
      <c r="G25" s="4"/>
      <c r="H25" s="3" t="s">
        <v>137</v>
      </c>
      <c r="I25" s="2" t="s">
        <v>178</v>
      </c>
      <c r="J25" s="2"/>
    </row>
    <row r="26" spans="1:10" x14ac:dyDescent="0.35">
      <c r="A26" s="2">
        <v>97</v>
      </c>
      <c r="B26" s="2" t="s">
        <v>148</v>
      </c>
      <c r="C26" s="2" t="s">
        <v>149</v>
      </c>
      <c r="D26" s="3" t="s">
        <v>137</v>
      </c>
      <c r="E26" s="4"/>
      <c r="F26" s="2" t="s">
        <v>6</v>
      </c>
      <c r="G26" s="4"/>
      <c r="H26" s="3" t="s">
        <v>137</v>
      </c>
      <c r="I26" s="2" t="s">
        <v>178</v>
      </c>
      <c r="J26" s="2"/>
    </row>
    <row r="27" spans="1:10" x14ac:dyDescent="0.35">
      <c r="A27" s="2">
        <v>98</v>
      </c>
      <c r="B27" s="2" t="s">
        <v>148</v>
      </c>
      <c r="C27" s="2" t="s">
        <v>150</v>
      </c>
      <c r="D27" s="3" t="s">
        <v>137</v>
      </c>
      <c r="E27" s="4"/>
      <c r="F27" s="2" t="s">
        <v>6</v>
      </c>
      <c r="G27" s="4"/>
      <c r="H27" s="3" t="s">
        <v>137</v>
      </c>
      <c r="I27" s="2" t="s">
        <v>178</v>
      </c>
      <c r="J27" s="2"/>
    </row>
    <row r="28" spans="1:10" x14ac:dyDescent="0.35">
      <c r="A28" s="2">
        <v>99</v>
      </c>
      <c r="B28" s="2" t="s">
        <v>148</v>
      </c>
      <c r="C28" s="2" t="s">
        <v>151</v>
      </c>
      <c r="D28" s="3" t="s">
        <v>137</v>
      </c>
      <c r="E28" s="4"/>
      <c r="F28" s="2" t="s">
        <v>6</v>
      </c>
      <c r="G28" s="4"/>
      <c r="H28" s="3" t="s">
        <v>137</v>
      </c>
      <c r="I28" s="2" t="s">
        <v>178</v>
      </c>
      <c r="J28" s="2"/>
    </row>
    <row r="29" spans="1:10" x14ac:dyDescent="0.35">
      <c r="A29" s="2">
        <v>100</v>
      </c>
      <c r="B29" s="2" t="s">
        <v>148</v>
      </c>
      <c r="C29" s="2" t="s">
        <v>151</v>
      </c>
      <c r="D29" s="3" t="s">
        <v>137</v>
      </c>
      <c r="E29" s="4"/>
      <c r="F29" s="2" t="s">
        <v>6</v>
      </c>
      <c r="G29" s="4"/>
      <c r="H29" s="3" t="s">
        <v>137</v>
      </c>
      <c r="I29" s="2" t="s">
        <v>178</v>
      </c>
      <c r="J29" s="2"/>
    </row>
    <row r="30" spans="1:10" x14ac:dyDescent="0.35">
      <c r="A30" s="2">
        <v>101</v>
      </c>
      <c r="B30" s="2" t="s">
        <v>152</v>
      </c>
      <c r="C30" s="2" t="s">
        <v>153</v>
      </c>
      <c r="D30" s="3" t="s">
        <v>137</v>
      </c>
      <c r="E30" s="4"/>
      <c r="F30" s="2" t="s">
        <v>6</v>
      </c>
      <c r="G30" s="4"/>
      <c r="H30" s="3" t="s">
        <v>137</v>
      </c>
      <c r="I30" s="2" t="s">
        <v>178</v>
      </c>
      <c r="J30" s="2"/>
    </row>
    <row r="31" spans="1:10" x14ac:dyDescent="0.35">
      <c r="A31" s="2">
        <v>102</v>
      </c>
      <c r="B31" s="2" t="s">
        <v>152</v>
      </c>
      <c r="C31" s="2" t="s">
        <v>154</v>
      </c>
      <c r="D31" s="3" t="s">
        <v>137</v>
      </c>
      <c r="E31" s="4"/>
      <c r="F31" s="2" t="s">
        <v>6</v>
      </c>
      <c r="G31" s="4"/>
      <c r="H31" s="3" t="s">
        <v>137</v>
      </c>
      <c r="I31" s="2" t="s">
        <v>178</v>
      </c>
      <c r="J31" s="2"/>
    </row>
    <row r="32" spans="1:10" x14ac:dyDescent="0.35">
      <c r="A32" s="2">
        <v>103</v>
      </c>
      <c r="B32" s="2" t="s">
        <v>155</v>
      </c>
      <c r="C32" s="2" t="s">
        <v>156</v>
      </c>
      <c r="D32" s="3" t="s">
        <v>137</v>
      </c>
      <c r="E32" s="4"/>
      <c r="F32" s="2" t="s">
        <v>6</v>
      </c>
      <c r="G32" s="4"/>
      <c r="H32" s="3" t="s">
        <v>137</v>
      </c>
      <c r="I32" s="2" t="s">
        <v>178</v>
      </c>
      <c r="J32" s="2"/>
    </row>
    <row r="33" spans="1:10" x14ac:dyDescent="0.35">
      <c r="A33" s="2">
        <v>104</v>
      </c>
      <c r="B33" s="2" t="s">
        <v>157</v>
      </c>
      <c r="C33" s="2" t="s">
        <v>158</v>
      </c>
      <c r="D33" s="3" t="s">
        <v>137</v>
      </c>
      <c r="E33" s="4"/>
      <c r="F33" s="2" t="s">
        <v>6</v>
      </c>
      <c r="G33" s="4"/>
      <c r="H33" s="3" t="s">
        <v>137</v>
      </c>
      <c r="I33" s="2" t="s">
        <v>178</v>
      </c>
      <c r="J33" s="2"/>
    </row>
    <row r="34" spans="1:10" ht="18.5" x14ac:dyDescent="0.35">
      <c r="A34" s="7"/>
      <c r="B34" s="7"/>
      <c r="C34" s="7"/>
      <c r="D34" s="7"/>
      <c r="E34" s="7"/>
      <c r="F34" s="7"/>
      <c r="G34" s="7"/>
      <c r="H34" s="8" t="s">
        <v>163</v>
      </c>
      <c r="I34" s="7"/>
      <c r="J34" s="9">
        <v>0</v>
      </c>
    </row>
    <row r="35" spans="1:10" x14ac:dyDescent="0.35">
      <c r="H35" s="10" t="s">
        <v>164</v>
      </c>
      <c r="J35" s="11">
        <v>360</v>
      </c>
    </row>
    <row r="37" spans="1:10" ht="17" x14ac:dyDescent="0.35">
      <c r="D37" s="12" t="s">
        <v>165</v>
      </c>
    </row>
    <row r="39" spans="1:10" x14ac:dyDescent="0.35">
      <c r="D39" s="13" t="s">
        <v>166</v>
      </c>
      <c r="E39" s="13" t="s">
        <v>167</v>
      </c>
      <c r="F39" s="13" t="s">
        <v>162</v>
      </c>
    </row>
    <row r="40" spans="1:10" x14ac:dyDescent="0.35">
      <c r="D40" s="14" t="s">
        <v>168</v>
      </c>
      <c r="E40" s="15" t="s">
        <v>169</v>
      </c>
      <c r="F40" s="15" t="s">
        <v>170</v>
      </c>
    </row>
    <row r="41" spans="1:10" x14ac:dyDescent="0.35">
      <c r="D41" s="14" t="s">
        <v>171</v>
      </c>
      <c r="E41" s="15" t="s">
        <v>172</v>
      </c>
      <c r="F41" s="15" t="s">
        <v>173</v>
      </c>
    </row>
    <row r="42" spans="1:10" x14ac:dyDescent="0.35">
      <c r="D42" s="14" t="s">
        <v>174</v>
      </c>
      <c r="E42" s="15" t="s">
        <v>175</v>
      </c>
      <c r="F42" s="15" t="s">
        <v>176</v>
      </c>
    </row>
    <row r="43" spans="1:10" x14ac:dyDescent="0.35">
      <c r="D43" s="14" t="s">
        <v>177</v>
      </c>
      <c r="E43" s="15" t="s">
        <v>178</v>
      </c>
      <c r="F43" s="15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Fase de Grupos</vt:lpstr>
      <vt:lpstr>Classificação</vt:lpstr>
      <vt:lpstr>Mata-Mata</vt:lpstr>
      <vt:lpstr>Palpites - Cosman</vt:lpstr>
      <vt:lpstr>Palpites - Nataniele</vt:lpstr>
      <vt:lpstr>Palpites - Candido</vt:lpstr>
      <vt:lpstr>Palpites - Lona</vt:lpstr>
      <vt:lpstr>Palpites - Isac</vt:lpstr>
      <vt:lpstr>Palpites - PC</vt:lpstr>
      <vt:lpstr>Palpites - Eliana</vt:lpstr>
      <vt:lpstr>Palpites - Sandra</vt:lpstr>
      <vt:lpstr>Palpites - Vania</vt:lpstr>
      <vt:lpstr>Palpites - Andrey</vt:lpstr>
      <vt:lpstr>Ranking</vt:lpstr>
      <vt:lpstr>Palpites MM - Cosman</vt:lpstr>
      <vt:lpstr>Palpites MM - Andrey</vt:lpstr>
      <vt:lpstr>Palpites MM - Candido</vt:lpstr>
      <vt:lpstr>Palpites MM - Lona</vt:lpstr>
      <vt:lpstr>Palpites MM - Isac</vt:lpstr>
      <vt:lpstr>Palpites MM - PC</vt:lpstr>
      <vt:lpstr>Palpites MM - Eliana</vt:lpstr>
      <vt:lpstr>Palpites MM - Sandra</vt:lpstr>
      <vt:lpstr>Palpites MM - Vania</vt:lpstr>
      <vt:lpstr>Palpites MM - Nataniele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COSMAN ALVES DA SILVA</cp:lastModifiedBy>
  <dcterms:created xsi:type="dcterms:W3CDTF">2026-06-13T21:32:14Z</dcterms:created>
  <dcterms:modified xsi:type="dcterms:W3CDTF">2026-06-29T00:53:56Z</dcterms:modified>
</cp:coreProperties>
</file>